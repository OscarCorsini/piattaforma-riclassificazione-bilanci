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miglia Corsini\Desktop\Oscar\Divisione Agritech\Bilancio aziende agricole\"/>
    </mc:Choice>
  </mc:AlternateContent>
  <xr:revisionPtr revIDLastSave="0" documentId="13_ncr:1_{F8FE7E6A-4D00-4436-8241-E3C0B68DB9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udio" sheetId="11" r:id="rId1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1" l="1"/>
  <c r="J22" i="11"/>
  <c r="L17" i="11"/>
  <c r="H17" i="11"/>
  <c r="L22" i="11"/>
  <c r="H22" i="11"/>
  <c r="F22" i="11"/>
  <c r="C22" i="11"/>
  <c r="N17" i="11"/>
  <c r="J17" i="11"/>
  <c r="F17" i="11"/>
  <c r="C17" i="11"/>
  <c r="N52" i="11"/>
  <c r="N28" i="11"/>
  <c r="N12" i="11"/>
  <c r="O29" i="11" s="1"/>
  <c r="C52" i="11"/>
  <c r="N16" i="11" l="1"/>
  <c r="N35" i="11" s="1"/>
  <c r="L16" i="11"/>
  <c r="J16" i="11"/>
  <c r="O24" i="11"/>
  <c r="O25" i="11"/>
  <c r="C16" i="11"/>
  <c r="O20" i="11"/>
  <c r="O19" i="11"/>
  <c r="O18" i="11"/>
  <c r="O21" i="11"/>
  <c r="O17" i="11"/>
  <c r="O31" i="11"/>
  <c r="O30" i="11"/>
  <c r="O52" i="11"/>
  <c r="O33" i="11"/>
  <c r="O9" i="11"/>
  <c r="O34" i="11"/>
  <c r="O32" i="11"/>
  <c r="O10" i="11"/>
  <c r="O27" i="11"/>
  <c r="O23" i="11"/>
  <c r="O26" i="11"/>
  <c r="O28" i="11"/>
  <c r="O22" i="11"/>
  <c r="O7" i="11"/>
  <c r="O8" i="11"/>
  <c r="O11" i="11"/>
  <c r="D4" i="11"/>
  <c r="L52" i="11"/>
  <c r="J52" i="11"/>
  <c r="H52" i="11"/>
  <c r="F52" i="11"/>
  <c r="L28" i="11"/>
  <c r="J28" i="11"/>
  <c r="H28" i="11"/>
  <c r="F28" i="11"/>
  <c r="C28" i="11"/>
  <c r="H16" i="11"/>
  <c r="F16" i="11"/>
  <c r="L12" i="11"/>
  <c r="M24" i="11" s="1"/>
  <c r="J12" i="11"/>
  <c r="K24" i="11" s="1"/>
  <c r="H12" i="11"/>
  <c r="F12" i="11"/>
  <c r="G24" i="11" s="1"/>
  <c r="C12" i="11"/>
  <c r="D24" i="11" s="1"/>
  <c r="F6" i="11"/>
  <c r="H6" i="11" s="1"/>
  <c r="O16" i="11" l="1"/>
  <c r="I25" i="11"/>
  <c r="I24" i="11"/>
  <c r="M20" i="11"/>
  <c r="M25" i="11"/>
  <c r="D20" i="11"/>
  <c r="D25" i="11"/>
  <c r="G20" i="11"/>
  <c r="G25" i="11"/>
  <c r="K20" i="11"/>
  <c r="K25" i="11"/>
  <c r="I18" i="11"/>
  <c r="I20" i="11"/>
  <c r="M19" i="11"/>
  <c r="M18" i="11"/>
  <c r="G19" i="11"/>
  <c r="G18" i="11"/>
  <c r="D19" i="11"/>
  <c r="D18" i="11"/>
  <c r="K19" i="11"/>
  <c r="K18" i="11"/>
  <c r="I21" i="11"/>
  <c r="I19" i="11"/>
  <c r="M22" i="11"/>
  <c r="M21" i="11"/>
  <c r="K22" i="11"/>
  <c r="K21" i="11"/>
  <c r="D22" i="11"/>
  <c r="D21" i="11"/>
  <c r="G22" i="11"/>
  <c r="G21" i="11"/>
  <c r="I22" i="11"/>
  <c r="N40" i="11"/>
  <c r="N55" i="11" s="1"/>
  <c r="O35" i="11"/>
  <c r="O12" i="11"/>
  <c r="D29" i="11"/>
  <c r="G52" i="11"/>
  <c r="K23" i="11"/>
  <c r="K30" i="11"/>
  <c r="M17" i="11"/>
  <c r="K17" i="11"/>
  <c r="K31" i="11"/>
  <c r="K26" i="11"/>
  <c r="K29" i="11"/>
  <c r="I31" i="11"/>
  <c r="I17" i="11"/>
  <c r="M31" i="11"/>
  <c r="M29" i="11"/>
  <c r="M23" i="11"/>
  <c r="M26" i="11"/>
  <c r="M30" i="11"/>
  <c r="M34" i="11"/>
  <c r="K33" i="11"/>
  <c r="I30" i="11"/>
  <c r="I26" i="11"/>
  <c r="I29" i="11"/>
  <c r="I23" i="11"/>
  <c r="I10" i="11"/>
  <c r="I32" i="11"/>
  <c r="G23" i="11"/>
  <c r="G26" i="11"/>
  <c r="G29" i="11"/>
  <c r="G30" i="11"/>
  <c r="G31" i="11"/>
  <c r="G33" i="11"/>
  <c r="D26" i="11"/>
  <c r="D30" i="11"/>
  <c r="D31" i="11"/>
  <c r="D23" i="11"/>
  <c r="D34" i="11"/>
  <c r="I7" i="11"/>
  <c r="K16" i="11"/>
  <c r="M7" i="11"/>
  <c r="I9" i="11"/>
  <c r="I11" i="11"/>
  <c r="I16" i="11"/>
  <c r="G9" i="11"/>
  <c r="K7" i="11"/>
  <c r="G10" i="11"/>
  <c r="G11" i="11"/>
  <c r="G16" i="11"/>
  <c r="M16" i="11"/>
  <c r="M8" i="11"/>
  <c r="D10" i="11"/>
  <c r="I52" i="11"/>
  <c r="M11" i="11"/>
  <c r="M28" i="11"/>
  <c r="M33" i="11"/>
  <c r="I8" i="11"/>
  <c r="M9" i="11"/>
  <c r="M10" i="11"/>
  <c r="H4" i="11"/>
  <c r="I6" i="11" s="1"/>
  <c r="D16" i="11"/>
  <c r="G17" i="11"/>
  <c r="G28" i="11"/>
  <c r="G34" i="11"/>
  <c r="G7" i="11"/>
  <c r="D8" i="11"/>
  <c r="K9" i="11"/>
  <c r="K11" i="11"/>
  <c r="G27" i="11"/>
  <c r="I28" i="11"/>
  <c r="D33" i="11"/>
  <c r="K34" i="11"/>
  <c r="K52" i="11"/>
  <c r="D7" i="11"/>
  <c r="K8" i="11"/>
  <c r="K32" i="11"/>
  <c r="G8" i="11"/>
  <c r="D9" i="11"/>
  <c r="K10" i="11"/>
  <c r="D11" i="11"/>
  <c r="K27" i="11"/>
  <c r="K28" i="11"/>
  <c r="I33" i="11"/>
  <c r="D52" i="11"/>
  <c r="M52" i="11"/>
  <c r="D28" i="11"/>
  <c r="G32" i="11"/>
  <c r="J6" i="11"/>
  <c r="C35" i="11"/>
  <c r="H35" i="11"/>
  <c r="L35" i="11"/>
  <c r="I27" i="11"/>
  <c r="D32" i="11"/>
  <c r="M32" i="11"/>
  <c r="I34" i="11"/>
  <c r="F35" i="11"/>
  <c r="J35" i="11"/>
  <c r="D17" i="11"/>
  <c r="D27" i="11"/>
  <c r="M27" i="11"/>
  <c r="O40" i="11" l="1"/>
  <c r="M12" i="11"/>
  <c r="K12" i="11"/>
  <c r="I12" i="11"/>
  <c r="G12" i="11"/>
  <c r="D12" i="11"/>
  <c r="K35" i="11"/>
  <c r="J40" i="11"/>
  <c r="H40" i="11"/>
  <c r="I35" i="11"/>
  <c r="G35" i="11"/>
  <c r="F40" i="11"/>
  <c r="C40" i="11"/>
  <c r="D35" i="11"/>
  <c r="L40" i="11"/>
  <c r="M35" i="11"/>
  <c r="L6" i="11"/>
  <c r="N6" i="11" s="1"/>
  <c r="J4" i="11"/>
  <c r="K6" i="11" s="1"/>
  <c r="N4" i="11" l="1"/>
  <c r="O6" i="11" s="1"/>
  <c r="F55" i="11"/>
  <c r="G40" i="11"/>
  <c r="J55" i="11"/>
  <c r="K40" i="11"/>
  <c r="M40" i="11"/>
  <c r="L55" i="11"/>
  <c r="L4" i="11"/>
  <c r="M6" i="11" s="1"/>
  <c r="D40" i="11"/>
  <c r="C55" i="11"/>
  <c r="I40" i="11"/>
  <c r="H55" i="11"/>
  <c r="P6" i="11" l="1"/>
</calcChain>
</file>

<file path=xl/sharedStrings.xml><?xml version="1.0" encoding="utf-8"?>
<sst xmlns="http://schemas.openxmlformats.org/spreadsheetml/2006/main" count="50" uniqueCount="45">
  <si>
    <t>Corrispettivi normali</t>
  </si>
  <si>
    <t>Altro</t>
  </si>
  <si>
    <t>Affitti</t>
  </si>
  <si>
    <t>Personale</t>
  </si>
  <si>
    <t>Contributi prev.</t>
  </si>
  <si>
    <t>E   N   T   R   A   T   E</t>
  </si>
  <si>
    <t>U   S   C   I   T   E</t>
  </si>
  <si>
    <t>Salari lordi dip.</t>
  </si>
  <si>
    <t>Prelievi titolare</t>
  </si>
  <si>
    <t>I passivi altri fidi</t>
  </si>
  <si>
    <t>Rate mutui ipot.</t>
  </si>
  <si>
    <t>Rate mutui chir.</t>
  </si>
  <si>
    <t>Rimborso fidi a BT</t>
  </si>
  <si>
    <t>Assicurazioni</t>
  </si>
  <si>
    <t>Onere bancario:</t>
  </si>
  <si>
    <t>Gestione fiscale</t>
  </si>
  <si>
    <t>Taglie acqua irrigua</t>
  </si>
  <si>
    <t>Totale entrate</t>
  </si>
  <si>
    <t>Totale uscite</t>
  </si>
  <si>
    <t>Totale onere bancario:</t>
  </si>
  <si>
    <t>D.S.C.R. stimato =</t>
  </si>
  <si>
    <t>M.O.L stimato</t>
  </si>
  <si>
    <t>Periodo</t>
  </si>
  <si>
    <t>S T I M A   D E L L A   S O S T E N I B I L I T A'   D E L   D E B I T O</t>
  </si>
  <si>
    <t>Linee a revoca (20%)</t>
  </si>
  <si>
    <t>Finanziamento nuovo</t>
  </si>
  <si>
    <t>di cui</t>
  </si>
  <si>
    <t>servizi</t>
  </si>
  <si>
    <t>leasing</t>
  </si>
  <si>
    <t>PAC e contributi pubblici</t>
  </si>
  <si>
    <t>Attività connessa</t>
  </si>
  <si>
    <t>Oneri diversi di gestione</t>
  </si>
  <si>
    <t>Acquisti ordinari</t>
  </si>
  <si>
    <t>Materie Prime e Merci</t>
  </si>
  <si>
    <t>Carburanti</t>
  </si>
  <si>
    <t>Mangimi e Foraggi</t>
  </si>
  <si>
    <t>Sementi</t>
  </si>
  <si>
    <t>Altri</t>
  </si>
  <si>
    <t>Energia elettrica</t>
  </si>
  <si>
    <t>Lavorazioni c/terzi</t>
  </si>
  <si>
    <t>Manutenzioni</t>
  </si>
  <si>
    <t xml:space="preserve">S  T  I  M  A     d e l     M  A  R  G  I  N  E     E  C  O  N  O  M  I  C  O  d e l l ' A Z I E N D A   A G R I C O L A </t>
  </si>
  <si>
    <t>M A R G I N E   O P E R A T I V O   L O R D O   S T I M A T O  e sostenibilità del debito bancario</t>
  </si>
  <si>
    <t>2026  - previsione</t>
  </si>
  <si>
    <t>2027 - previsione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</si>
</sst>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6" formatCode="#,##0.00\ _€;[Red]\-#,##0.00\ _€"/>
  </numFmts>
  <fonts count="20" x14ac:knownFonts="1">
    <font>
      <sz val="11"/>
      <color theme="1"/>
      <name val="Calibri"/>
      <family val="2"/>
      <scheme val="minor"/>
    </font>
    <font>
      <b/>
      <sz val="9"/>
      <name val="Century Gothic"/>
      <family val="2"/>
    </font>
    <font>
      <sz val="9"/>
      <color theme="1"/>
      <name val="Century Gothic"/>
      <family val="2"/>
    </font>
    <font>
      <sz val="9"/>
      <name val="Century Gothic"/>
      <family val="2"/>
    </font>
    <font>
      <b/>
      <sz val="9"/>
      <color theme="4" tint="-0.249977111117893"/>
      <name val="Century Gothic"/>
      <family val="2"/>
    </font>
    <font>
      <sz val="9"/>
      <color theme="1" tint="0.3499862666707357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9"/>
      <color theme="0"/>
      <name val="Century Gothic"/>
      <family val="2"/>
    </font>
    <font>
      <sz val="9"/>
      <color theme="6" tint="-0.499984740745262"/>
      <name val="Century Gothic"/>
      <family val="2"/>
    </font>
    <font>
      <sz val="9"/>
      <color theme="0" tint="-0.14999847407452621"/>
      <name val="Century Gothic"/>
      <family val="2"/>
    </font>
    <font>
      <b/>
      <sz val="9"/>
      <color theme="3"/>
      <name val="Century Gothic"/>
      <family val="2"/>
    </font>
    <font>
      <b/>
      <sz val="9"/>
      <color theme="9" tint="-0.499984740745262"/>
      <name val="Century Gothic"/>
      <family val="2"/>
    </font>
    <font>
      <sz val="8"/>
      <name val="Century Gothic"/>
      <family val="2"/>
    </font>
    <font>
      <sz val="8"/>
      <color theme="1"/>
      <name val="Century Gothic"/>
      <family val="2"/>
    </font>
    <font>
      <i/>
      <sz val="8"/>
      <color theme="1"/>
      <name val="Century Gothic"/>
      <family val="2"/>
    </font>
    <font>
      <i/>
      <sz val="8"/>
      <name val="Century Gothic"/>
      <family val="2"/>
    </font>
    <font>
      <b/>
      <sz val="8"/>
      <color theme="1"/>
      <name val="Century Gothic"/>
      <family val="2"/>
    </font>
    <font>
      <b/>
      <sz val="8"/>
      <name val="Century Gothic"/>
      <family val="2"/>
    </font>
    <font>
      <b/>
      <sz val="9"/>
      <color rgb="FFB87333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CEAAA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D7D4D1"/>
        <bgColor indexed="64"/>
      </patternFill>
    </fill>
    <fill>
      <patternFill patternType="solid">
        <fgColor rgb="FFFDFBF7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90">
    <xf numFmtId="0" fontId="0" fillId="0" borderId="0" xfId="0"/>
    <xf numFmtId="165" fontId="2" fillId="0" borderId="4" xfId="0" applyNumberFormat="1" applyFont="1" applyBorder="1" applyProtection="1">
      <protection hidden="1"/>
    </xf>
    <xf numFmtId="165" fontId="2" fillId="0" borderId="3" xfId="0" applyNumberFormat="1" applyFont="1" applyBorder="1" applyProtection="1">
      <protection hidden="1"/>
    </xf>
    <xf numFmtId="165" fontId="2" fillId="0" borderId="4" xfId="0" applyNumberFormat="1" applyFont="1" applyBorder="1" applyAlignment="1" applyProtection="1">
      <alignment horizontal="center"/>
      <protection hidden="1"/>
    </xf>
    <xf numFmtId="165" fontId="3" fillId="0" borderId="6" xfId="0" applyNumberFormat="1" applyFont="1" applyBorder="1" applyProtection="1">
      <protection hidden="1"/>
    </xf>
    <xf numFmtId="165" fontId="3" fillId="0" borderId="6" xfId="0" applyNumberFormat="1" applyFont="1" applyBorder="1" applyAlignment="1" applyProtection="1">
      <alignment horizontal="center"/>
      <protection hidden="1"/>
    </xf>
    <xf numFmtId="165" fontId="3" fillId="0" borderId="8" xfId="0" applyNumberFormat="1" applyFont="1" applyBorder="1" applyProtection="1">
      <protection hidden="1"/>
    </xf>
    <xf numFmtId="0" fontId="3" fillId="0" borderId="10" xfId="0" applyFont="1" applyBorder="1" applyProtection="1">
      <protection locked="0" hidden="1"/>
    </xf>
    <xf numFmtId="165" fontId="3" fillId="0" borderId="1" xfId="0" applyNumberFormat="1" applyFont="1" applyBorder="1" applyProtection="1">
      <protection hidden="1"/>
    </xf>
    <xf numFmtId="165" fontId="3" fillId="0" borderId="1" xfId="0" applyNumberFormat="1" applyFont="1" applyBorder="1" applyAlignment="1" applyProtection="1">
      <alignment horizontal="center"/>
      <protection hidden="1"/>
    </xf>
    <xf numFmtId="165" fontId="4" fillId="2" borderId="0" xfId="0" applyNumberFormat="1" applyFont="1" applyFill="1" applyAlignment="1" applyProtection="1">
      <alignment horizontal="center"/>
      <protection hidden="1"/>
    </xf>
    <xf numFmtId="165" fontId="4" fillId="0" borderId="0" xfId="0" applyNumberFormat="1" applyFont="1" applyAlignment="1" applyProtection="1">
      <alignment horizontal="center"/>
      <protection hidden="1"/>
    </xf>
    <xf numFmtId="165" fontId="5" fillId="0" borderId="3" xfId="0" applyNumberFormat="1" applyFont="1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center"/>
      <protection hidden="1"/>
    </xf>
    <xf numFmtId="0" fontId="2" fillId="0" borderId="0" xfId="0" applyFont="1" applyProtection="1">
      <protection hidden="1"/>
    </xf>
    <xf numFmtId="0" fontId="6" fillId="0" borderId="0" xfId="0" applyFont="1" applyProtection="1">
      <protection hidden="1"/>
    </xf>
    <xf numFmtId="0" fontId="6" fillId="0" borderId="2" xfId="0" applyFont="1" applyBorder="1" applyProtection="1">
      <protection hidden="1"/>
    </xf>
    <xf numFmtId="0" fontId="6" fillId="0" borderId="14" xfId="0" applyFont="1" applyBorder="1" applyAlignment="1" applyProtection="1">
      <alignment horizontal="right"/>
      <protection hidden="1"/>
    </xf>
    <xf numFmtId="0" fontId="2" fillId="4" borderId="2" xfId="0" applyFont="1" applyFill="1" applyBorder="1" applyAlignment="1" applyProtection="1">
      <alignment horizontal="center"/>
      <protection locked="0" hidden="1"/>
    </xf>
    <xf numFmtId="0" fontId="8" fillId="0" borderId="0" xfId="0" applyFont="1" applyProtection="1">
      <protection hidden="1"/>
    </xf>
    <xf numFmtId="0" fontId="1" fillId="0" borderId="4" xfId="0" applyFont="1" applyBorder="1" applyProtection="1">
      <protection hidden="1"/>
    </xf>
    <xf numFmtId="0" fontId="9" fillId="0" borderId="11" xfId="0" applyFont="1" applyBorder="1" applyProtection="1">
      <protection hidden="1"/>
    </xf>
    <xf numFmtId="0" fontId="1" fillId="0" borderId="6" xfId="0" applyFont="1" applyBorder="1" applyProtection="1">
      <protection hidden="1"/>
    </xf>
    <xf numFmtId="0" fontId="3" fillId="0" borderId="7" xfId="0" applyFont="1" applyBorder="1" applyProtection="1">
      <protection hidden="1"/>
    </xf>
    <xf numFmtId="0" fontId="2" fillId="0" borderId="1" xfId="0" applyFont="1" applyBorder="1" applyProtection="1">
      <protection hidden="1"/>
    </xf>
    <xf numFmtId="0" fontId="1" fillId="0" borderId="1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0" fillId="0" borderId="0" xfId="0" applyFont="1" applyAlignment="1" applyProtection="1">
      <alignment horizontal="right"/>
      <protection hidden="1"/>
    </xf>
    <xf numFmtId="0" fontId="10" fillId="0" borderId="0" xfId="0" applyFont="1" applyAlignment="1" applyProtection="1">
      <alignment horizontal="left"/>
      <protection hidden="1"/>
    </xf>
    <xf numFmtId="0" fontId="6" fillId="0" borderId="3" xfId="0" applyFont="1" applyBorder="1" applyAlignment="1" applyProtection="1">
      <alignment horizontal="center"/>
      <protection hidden="1"/>
    </xf>
    <xf numFmtId="0" fontId="2" fillId="0" borderId="3" xfId="0" applyFont="1" applyBorder="1" applyProtection="1">
      <protection hidden="1"/>
    </xf>
    <xf numFmtId="0" fontId="6" fillId="0" borderId="1" xfId="0" applyFont="1" applyBorder="1" applyProtection="1">
      <protection hidden="1"/>
    </xf>
    <xf numFmtId="0" fontId="2" fillId="0" borderId="1" xfId="0" applyFont="1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right"/>
      <protection hidden="1"/>
    </xf>
    <xf numFmtId="0" fontId="2" fillId="0" borderId="0" xfId="0" applyFont="1" applyAlignment="1" applyProtection="1">
      <alignment horizontal="center"/>
      <protection hidden="1"/>
    </xf>
    <xf numFmtId="165" fontId="6" fillId="0" borderId="0" xfId="0" applyNumberFormat="1" applyFont="1" applyAlignment="1" applyProtection="1">
      <alignment horizontal="center"/>
      <protection hidden="1"/>
    </xf>
    <xf numFmtId="0" fontId="6" fillId="0" borderId="1" xfId="0" applyFont="1" applyBorder="1" applyAlignment="1" applyProtection="1">
      <alignment horizontal="right"/>
      <protection hidden="1"/>
    </xf>
    <xf numFmtId="0" fontId="6" fillId="0" borderId="0" xfId="0" applyFont="1" applyAlignment="1" applyProtection="1">
      <alignment horizontal="left"/>
      <protection hidden="1"/>
    </xf>
    <xf numFmtId="0" fontId="6" fillId="0" borderId="0" xfId="0" applyFont="1" applyAlignment="1" applyProtection="1">
      <alignment horizontal="left"/>
      <protection locked="0" hidden="1"/>
    </xf>
    <xf numFmtId="0" fontId="6" fillId="0" borderId="1" xfId="0" applyFont="1" applyBorder="1" applyAlignment="1" applyProtection="1">
      <alignment horizontal="left"/>
      <protection hidden="1"/>
    </xf>
    <xf numFmtId="0" fontId="6" fillId="0" borderId="3" xfId="0" applyFont="1" applyBorder="1" applyProtection="1">
      <protection hidden="1"/>
    </xf>
    <xf numFmtId="0" fontId="6" fillId="0" borderId="3" xfId="0" applyFont="1" applyBorder="1" applyAlignment="1" applyProtection="1">
      <alignment horizontal="right"/>
      <protection hidden="1"/>
    </xf>
    <xf numFmtId="0" fontId="2" fillId="0" borderId="3" xfId="0" applyFont="1" applyBorder="1" applyAlignment="1" applyProtection="1">
      <alignment horizontal="center"/>
      <protection hidden="1"/>
    </xf>
    <xf numFmtId="165" fontId="6" fillId="0" borderId="3" xfId="0" applyNumberFormat="1" applyFont="1" applyBorder="1" applyAlignment="1" applyProtection="1">
      <alignment horizont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2" fillId="0" borderId="0" xfId="0" applyFont="1" applyAlignment="1" applyProtection="1">
      <alignment horizontal="left"/>
      <protection hidden="1"/>
    </xf>
    <xf numFmtId="2" fontId="12" fillId="0" borderId="0" xfId="0" applyNumberFormat="1" applyFont="1" applyAlignment="1" applyProtection="1">
      <alignment horizontal="center"/>
      <protection hidden="1"/>
    </xf>
    <xf numFmtId="0" fontId="2" fillId="0" borderId="1" xfId="0" applyFont="1" applyBorder="1" applyAlignment="1" applyProtection="1">
      <alignment horizontal="left"/>
      <protection hidden="1"/>
    </xf>
    <xf numFmtId="3" fontId="2" fillId="0" borderId="0" xfId="0" applyNumberFormat="1" applyFont="1" applyProtection="1">
      <protection hidden="1"/>
    </xf>
    <xf numFmtId="3" fontId="8" fillId="0" borderId="0" xfId="0" applyNumberFormat="1" applyFont="1" applyProtection="1">
      <protection hidden="1"/>
    </xf>
    <xf numFmtId="3" fontId="6" fillId="0" borderId="0" xfId="0" applyNumberFormat="1" applyFont="1" applyAlignment="1" applyProtection="1">
      <alignment horizontal="center"/>
      <protection hidden="1"/>
    </xf>
    <xf numFmtId="3" fontId="2" fillId="0" borderId="3" xfId="0" applyNumberFormat="1" applyFont="1" applyBorder="1" applyProtection="1">
      <protection hidden="1"/>
    </xf>
    <xf numFmtId="3" fontId="2" fillId="0" borderId="1" xfId="0" applyNumberFormat="1" applyFont="1" applyBorder="1" applyProtection="1">
      <protection hidden="1"/>
    </xf>
    <xf numFmtId="3" fontId="6" fillId="0" borderId="3" xfId="0" applyNumberFormat="1" applyFont="1" applyBorder="1" applyAlignment="1" applyProtection="1">
      <alignment horizontal="center"/>
      <protection hidden="1"/>
    </xf>
    <xf numFmtId="3" fontId="2" fillId="0" borderId="1" xfId="0" applyNumberFormat="1" applyFont="1" applyBorder="1" applyAlignment="1" applyProtection="1">
      <alignment horizontal="center"/>
      <protection hidden="1"/>
    </xf>
    <xf numFmtId="3" fontId="2" fillId="0" borderId="0" xfId="0" applyNumberFormat="1" applyFont="1" applyAlignment="1" applyProtection="1">
      <alignment horizontal="center"/>
      <protection hidden="1"/>
    </xf>
    <xf numFmtId="3" fontId="4" fillId="3" borderId="19" xfId="0" applyNumberFormat="1" applyFont="1" applyFill="1" applyBorder="1" applyAlignment="1" applyProtection="1">
      <alignment horizontal="center"/>
      <protection hidden="1"/>
    </xf>
    <xf numFmtId="3" fontId="8" fillId="0" borderId="0" xfId="0" applyNumberFormat="1" applyFont="1" applyAlignment="1" applyProtection="1">
      <alignment horizontal="center" vertical="center"/>
      <protection hidden="1"/>
    </xf>
    <xf numFmtId="3" fontId="6" fillId="0" borderId="1" xfId="0" applyNumberFormat="1" applyFont="1" applyBorder="1" applyAlignment="1" applyProtection="1">
      <alignment horizontal="center"/>
      <protection hidden="1"/>
    </xf>
    <xf numFmtId="3" fontId="6" fillId="0" borderId="0" xfId="0" applyNumberFormat="1" applyFont="1" applyAlignment="1" applyProtection="1">
      <alignment horizontal="center" vertical="center"/>
      <protection hidden="1"/>
    </xf>
    <xf numFmtId="3" fontId="6" fillId="0" borderId="3" xfId="0" applyNumberFormat="1" applyFont="1" applyBorder="1" applyAlignment="1" applyProtection="1">
      <alignment horizontal="center" vertical="center"/>
      <protection hidden="1"/>
    </xf>
    <xf numFmtId="3" fontId="2" fillId="0" borderId="0" xfId="0" applyNumberFormat="1" applyFont="1" applyAlignment="1" applyProtection="1">
      <alignment horizontal="left"/>
      <protection hidden="1"/>
    </xf>
    <xf numFmtId="3" fontId="6" fillId="0" borderId="1" xfId="0" applyNumberFormat="1" applyFont="1" applyBorder="1" applyAlignment="1" applyProtection="1">
      <alignment horizontal="center" vertical="center"/>
      <protection hidden="1"/>
    </xf>
    <xf numFmtId="3" fontId="2" fillId="0" borderId="1" xfId="0" applyNumberFormat="1" applyFont="1" applyBorder="1" applyAlignment="1" applyProtection="1">
      <alignment horizontal="left"/>
      <protection hidden="1"/>
    </xf>
    <xf numFmtId="3" fontId="2" fillId="0" borderId="3" xfId="0" applyNumberFormat="1" applyFont="1" applyBorder="1" applyAlignment="1" applyProtection="1">
      <alignment horizontal="center"/>
      <protection locked="0" hidden="1"/>
    </xf>
    <xf numFmtId="3" fontId="2" fillId="0" borderId="0" xfId="0" applyNumberFormat="1" applyFont="1" applyAlignment="1" applyProtection="1">
      <alignment horizontal="center"/>
      <protection locked="0" hidden="1"/>
    </xf>
    <xf numFmtId="3" fontId="2" fillId="0" borderId="1" xfId="0" applyNumberFormat="1" applyFont="1" applyBorder="1" applyAlignment="1" applyProtection="1">
      <alignment horizontal="center"/>
      <protection locked="0" hidden="1"/>
    </xf>
    <xf numFmtId="0" fontId="6" fillId="3" borderId="16" xfId="0" applyFont="1" applyFill="1" applyBorder="1" applyAlignment="1" applyProtection="1">
      <alignment horizontal="center"/>
      <protection hidden="1"/>
    </xf>
    <xf numFmtId="0" fontId="6" fillId="3" borderId="2" xfId="0" applyFont="1" applyFill="1" applyBorder="1" applyAlignment="1" applyProtection="1">
      <alignment horizontal="center"/>
      <protection hidden="1"/>
    </xf>
    <xf numFmtId="0" fontId="1" fillId="0" borderId="6" xfId="0" applyFont="1" applyBorder="1" applyProtection="1">
      <protection hidden="1"/>
    </xf>
    <xf numFmtId="0" fontId="3" fillId="0" borderId="7" xfId="0" applyFont="1" applyBorder="1" applyProtection="1">
      <protection hidden="1"/>
    </xf>
    <xf numFmtId="0" fontId="11" fillId="0" borderId="0" xfId="0" applyFont="1" applyProtection="1"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/>
      <protection hidden="1"/>
    </xf>
    <xf numFmtId="2" fontId="12" fillId="3" borderId="19" xfId="0" applyNumberFormat="1" applyFont="1" applyFill="1" applyBorder="1" applyAlignment="1" applyProtection="1">
      <alignment horizontal="center"/>
      <protection hidden="1"/>
    </xf>
    <xf numFmtId="0" fontId="2" fillId="3" borderId="0" xfId="0" applyFont="1" applyFill="1" applyAlignment="1" applyProtection="1">
      <alignment horizontal="center"/>
      <protection hidden="1"/>
    </xf>
    <xf numFmtId="0" fontId="6" fillId="0" borderId="0" xfId="0" applyFont="1" applyAlignment="1" applyProtection="1">
      <alignment horizontal="right"/>
      <protection hidden="1"/>
    </xf>
    <xf numFmtId="0" fontId="2" fillId="0" borderId="0" xfId="0" applyFont="1" applyAlignment="1" applyProtection="1">
      <alignment horizontal="right"/>
      <protection hidden="1"/>
    </xf>
    <xf numFmtId="0" fontId="14" fillId="0" borderId="0" xfId="0" applyFont="1" applyProtection="1">
      <protection hidden="1"/>
    </xf>
    <xf numFmtId="0" fontId="13" fillId="0" borderId="0" xfId="0" applyFont="1" applyAlignment="1" applyProtection="1">
      <alignment horizontal="right"/>
      <protection hidden="1"/>
    </xf>
    <xf numFmtId="0" fontId="15" fillId="0" borderId="0" xfId="0" applyFont="1" applyProtection="1">
      <protection hidden="1"/>
    </xf>
    <xf numFmtId="0" fontId="16" fillId="0" borderId="0" xfId="0" applyFont="1" applyAlignment="1" applyProtection="1">
      <alignment horizontal="right"/>
      <protection hidden="1"/>
    </xf>
    <xf numFmtId="0" fontId="16" fillId="0" borderId="0" xfId="0" applyFont="1" applyProtection="1">
      <protection hidden="1"/>
    </xf>
    <xf numFmtId="165" fontId="1" fillId="0" borderId="12" xfId="0" applyNumberFormat="1" applyFont="1" applyBorder="1" applyAlignment="1" applyProtection="1">
      <alignment horizontal="right"/>
      <protection hidden="1"/>
    </xf>
    <xf numFmtId="165" fontId="1" fillId="0" borderId="3" xfId="0" applyNumberFormat="1" applyFont="1" applyBorder="1" applyAlignment="1" applyProtection="1">
      <alignment horizontal="right"/>
      <protection hidden="1"/>
    </xf>
    <xf numFmtId="3" fontId="1" fillId="3" borderId="17" xfId="0" applyNumberFormat="1" applyFont="1" applyFill="1" applyBorder="1" applyAlignment="1" applyProtection="1">
      <alignment horizontal="right"/>
      <protection locked="0" hidden="1"/>
    </xf>
    <xf numFmtId="0" fontId="17" fillId="0" borderId="0" xfId="0" applyFont="1" applyProtection="1">
      <protection hidden="1"/>
    </xf>
    <xf numFmtId="0" fontId="18" fillId="0" borderId="0" xfId="0" applyFont="1" applyAlignment="1" applyProtection="1">
      <alignment horizontal="right"/>
      <protection hidden="1"/>
    </xf>
    <xf numFmtId="0" fontId="18" fillId="0" borderId="0" xfId="0" applyFont="1" applyProtection="1">
      <protection hidden="1"/>
    </xf>
    <xf numFmtId="165" fontId="1" fillId="0" borderId="8" xfId="0" applyNumberFormat="1" applyFont="1" applyBorder="1" applyAlignment="1" applyProtection="1">
      <alignment horizontal="right"/>
      <protection hidden="1"/>
    </xf>
    <xf numFmtId="3" fontId="1" fillId="3" borderId="18" xfId="0" applyNumberFormat="1" applyFont="1" applyFill="1" applyBorder="1" applyAlignment="1" applyProtection="1">
      <alignment horizontal="right"/>
      <protection locked="0" hidden="1"/>
    </xf>
    <xf numFmtId="0" fontId="13" fillId="0" borderId="9" xfId="0" applyFont="1" applyBorder="1" applyProtection="1">
      <protection hidden="1"/>
    </xf>
    <xf numFmtId="0" fontId="13" fillId="0" borderId="8" xfId="0" applyFont="1" applyBorder="1" applyAlignment="1" applyProtection="1">
      <alignment horizontal="right"/>
      <protection hidden="1"/>
    </xf>
    <xf numFmtId="0" fontId="13" fillId="0" borderId="13" xfId="0" applyFont="1" applyBorder="1" applyProtection="1">
      <protection hidden="1"/>
    </xf>
    <xf numFmtId="165" fontId="1" fillId="0" borderId="6" xfId="0" applyNumberFormat="1" applyFont="1" applyBorder="1" applyAlignment="1" applyProtection="1">
      <alignment horizontal="right"/>
      <protection hidden="1"/>
    </xf>
    <xf numFmtId="3" fontId="1" fillId="3" borderId="5" xfId="0" applyNumberFormat="1" applyFont="1" applyFill="1" applyBorder="1" applyAlignment="1" applyProtection="1">
      <alignment horizontal="right"/>
      <protection locked="0" hidden="1"/>
    </xf>
    <xf numFmtId="0" fontId="1" fillId="0" borderId="7" xfId="0" applyFont="1" applyBorder="1" applyProtection="1">
      <protection hidden="1"/>
    </xf>
    <xf numFmtId="0" fontId="1" fillId="0" borderId="10" xfId="0" applyFont="1" applyBorder="1" applyProtection="1">
      <protection locked="0" hidden="1"/>
    </xf>
    <xf numFmtId="165" fontId="1" fillId="0" borderId="1" xfId="0" applyNumberFormat="1" applyFont="1" applyBorder="1" applyAlignment="1" applyProtection="1">
      <alignment horizontal="right"/>
      <protection hidden="1"/>
    </xf>
    <xf numFmtId="3" fontId="1" fillId="3" borderId="20" xfId="0" applyNumberFormat="1" applyFont="1" applyFill="1" applyBorder="1" applyAlignment="1" applyProtection="1">
      <alignment horizontal="right"/>
      <protection locked="0" hidden="1"/>
    </xf>
    <xf numFmtId="165" fontId="18" fillId="0" borderId="7" xfId="0" applyNumberFormat="1" applyFont="1" applyBorder="1" applyAlignment="1" applyProtection="1">
      <alignment horizontal="right"/>
      <protection hidden="1"/>
    </xf>
    <xf numFmtId="165" fontId="18" fillId="0" borderId="6" xfId="0" applyNumberFormat="1" applyFont="1" applyBorder="1" applyAlignment="1" applyProtection="1">
      <alignment horizontal="right"/>
      <protection hidden="1"/>
    </xf>
    <xf numFmtId="3" fontId="18" fillId="3" borderId="5" xfId="0" applyNumberFormat="1" applyFont="1" applyFill="1" applyBorder="1" applyAlignment="1" applyProtection="1">
      <alignment horizontal="right"/>
      <protection locked="0" hidden="1"/>
    </xf>
    <xf numFmtId="165" fontId="16" fillId="0" borderId="7" xfId="0" applyNumberFormat="1" applyFont="1" applyBorder="1" applyAlignment="1" applyProtection="1">
      <alignment horizontal="right"/>
      <protection hidden="1"/>
    </xf>
    <xf numFmtId="165" fontId="16" fillId="0" borderId="6" xfId="0" applyNumberFormat="1" applyFont="1" applyBorder="1" applyAlignment="1" applyProtection="1">
      <alignment horizontal="right"/>
      <protection hidden="1"/>
    </xf>
    <xf numFmtId="3" fontId="16" fillId="3" borderId="5" xfId="0" applyNumberFormat="1" applyFont="1" applyFill="1" applyBorder="1" applyAlignment="1" applyProtection="1">
      <alignment horizontal="right"/>
      <protection locked="0" hidden="1"/>
    </xf>
    <xf numFmtId="3" fontId="1" fillId="3" borderId="5" xfId="0" applyNumberFormat="1" applyFont="1" applyFill="1" applyBorder="1" applyAlignment="1" applyProtection="1">
      <alignment horizontal="right"/>
      <protection hidden="1"/>
    </xf>
    <xf numFmtId="165" fontId="13" fillId="0" borderId="6" xfId="0" applyNumberFormat="1" applyFont="1" applyBorder="1" applyAlignment="1" applyProtection="1">
      <alignment horizontal="right"/>
      <protection hidden="1"/>
    </xf>
    <xf numFmtId="3" fontId="13" fillId="3" borderId="5" xfId="0" applyNumberFormat="1" applyFont="1" applyFill="1" applyBorder="1" applyAlignment="1" applyProtection="1">
      <alignment horizontal="right"/>
      <protection locked="0" hidden="1"/>
    </xf>
    <xf numFmtId="0" fontId="1" fillId="0" borderId="11" xfId="0" applyFont="1" applyBorder="1" applyProtection="1">
      <protection hidden="1"/>
    </xf>
    <xf numFmtId="0" fontId="7" fillId="5" borderId="0" xfId="0" applyFont="1" applyFill="1" applyBorder="1" applyAlignment="1" applyProtection="1">
      <alignment horizontal="center" vertical="center"/>
      <protection hidden="1"/>
    </xf>
    <xf numFmtId="0" fontId="7" fillId="5" borderId="0" xfId="0" applyFont="1" applyFill="1" applyAlignment="1" applyProtection="1">
      <alignment horizontal="center" vertical="center" wrapText="1"/>
      <protection hidden="1"/>
    </xf>
    <xf numFmtId="3" fontId="2" fillId="6" borderId="17" xfId="0" applyNumberFormat="1" applyFont="1" applyFill="1" applyBorder="1" applyProtection="1">
      <protection locked="0" hidden="1"/>
    </xf>
    <xf numFmtId="3" fontId="3" fillId="6" borderId="5" xfId="0" applyNumberFormat="1" applyFont="1" applyFill="1" applyBorder="1" applyProtection="1">
      <protection locked="0" hidden="1"/>
    </xf>
    <xf numFmtId="3" fontId="3" fillId="6" borderId="18" xfId="0" applyNumberFormat="1" applyFont="1" applyFill="1" applyBorder="1" applyProtection="1">
      <protection locked="0" hidden="1"/>
    </xf>
    <xf numFmtId="3" fontId="3" fillId="6" borderId="15" xfId="0" applyNumberFormat="1" applyFont="1" applyFill="1" applyBorder="1" applyProtection="1">
      <protection locked="0" hidden="1"/>
    </xf>
    <xf numFmtId="3" fontId="1" fillId="6" borderId="17" xfId="0" applyNumberFormat="1" applyFont="1" applyFill="1" applyBorder="1" applyAlignment="1" applyProtection="1">
      <alignment horizontal="right"/>
      <protection locked="0" hidden="1"/>
    </xf>
    <xf numFmtId="3" fontId="18" fillId="6" borderId="5" xfId="0" applyNumberFormat="1" applyFont="1" applyFill="1" applyBorder="1" applyAlignment="1" applyProtection="1">
      <alignment horizontal="right"/>
      <protection locked="0" hidden="1"/>
    </xf>
    <xf numFmtId="3" fontId="16" fillId="6" borderId="5" xfId="0" applyNumberFormat="1" applyFont="1" applyFill="1" applyBorder="1" applyAlignment="1" applyProtection="1">
      <alignment horizontal="right"/>
      <protection locked="0" hidden="1"/>
    </xf>
    <xf numFmtId="3" fontId="1" fillId="6" borderId="5" xfId="0" applyNumberFormat="1" applyFont="1" applyFill="1" applyBorder="1" applyAlignment="1" applyProtection="1">
      <alignment horizontal="right"/>
      <protection locked="0" hidden="1"/>
    </xf>
    <xf numFmtId="3" fontId="1" fillId="6" borderId="5" xfId="0" applyNumberFormat="1" applyFont="1" applyFill="1" applyBorder="1" applyAlignment="1" applyProtection="1">
      <alignment horizontal="right"/>
      <protection hidden="1"/>
    </xf>
    <xf numFmtId="3" fontId="13" fillId="6" borderId="5" xfId="0" applyNumberFormat="1" applyFont="1" applyFill="1" applyBorder="1" applyAlignment="1" applyProtection="1">
      <alignment horizontal="right"/>
      <protection locked="0" hidden="1"/>
    </xf>
    <xf numFmtId="3" fontId="1" fillId="6" borderId="18" xfId="0" applyNumberFormat="1" applyFont="1" applyFill="1" applyBorder="1" applyAlignment="1" applyProtection="1">
      <alignment horizontal="right"/>
      <protection locked="0" hidden="1"/>
    </xf>
    <xf numFmtId="3" fontId="1" fillId="6" borderId="20" xfId="0" applyNumberFormat="1" applyFont="1" applyFill="1" applyBorder="1" applyAlignment="1" applyProtection="1">
      <alignment horizontal="right"/>
      <protection locked="0" hidden="1"/>
    </xf>
    <xf numFmtId="0" fontId="2" fillId="3" borderId="2" xfId="0" applyFont="1" applyFill="1" applyBorder="1" applyAlignment="1" applyProtection="1">
      <alignment horizontal="center"/>
      <protection hidden="1"/>
    </xf>
    <xf numFmtId="3" fontId="2" fillId="7" borderId="3" xfId="0" applyNumberFormat="1" applyFont="1" applyFill="1" applyBorder="1" applyProtection="1">
      <protection locked="0" hidden="1"/>
    </xf>
    <xf numFmtId="3" fontId="3" fillId="7" borderId="6" xfId="0" applyNumberFormat="1" applyFont="1" applyFill="1" applyBorder="1" applyProtection="1">
      <protection locked="0" hidden="1"/>
    </xf>
    <xf numFmtId="3" fontId="3" fillId="7" borderId="8" xfId="0" applyNumberFormat="1" applyFont="1" applyFill="1" applyBorder="1" applyProtection="1">
      <protection locked="0" hidden="1"/>
    </xf>
    <xf numFmtId="3" fontId="3" fillId="7" borderId="1" xfId="0" applyNumberFormat="1" applyFont="1" applyFill="1" applyBorder="1" applyProtection="1">
      <protection locked="0" hidden="1"/>
    </xf>
    <xf numFmtId="3" fontId="1" fillId="7" borderId="17" xfId="0" applyNumberFormat="1" applyFont="1" applyFill="1" applyBorder="1" applyAlignment="1" applyProtection="1">
      <alignment horizontal="right"/>
      <protection locked="0" hidden="1"/>
    </xf>
    <xf numFmtId="3" fontId="18" fillId="7" borderId="5" xfId="0" applyNumberFormat="1" applyFont="1" applyFill="1" applyBorder="1" applyAlignment="1" applyProtection="1">
      <alignment horizontal="right"/>
      <protection locked="0" hidden="1"/>
    </xf>
    <xf numFmtId="3" fontId="16" fillId="7" borderId="5" xfId="0" applyNumberFormat="1" applyFont="1" applyFill="1" applyBorder="1" applyAlignment="1" applyProtection="1">
      <alignment horizontal="right"/>
      <protection locked="0" hidden="1"/>
    </xf>
    <xf numFmtId="3" fontId="1" fillId="7" borderId="5" xfId="0" applyNumberFormat="1" applyFont="1" applyFill="1" applyBorder="1" applyAlignment="1" applyProtection="1">
      <alignment horizontal="right"/>
      <protection locked="0" hidden="1"/>
    </xf>
    <xf numFmtId="3" fontId="1" fillId="7" borderId="5" xfId="0" applyNumberFormat="1" applyFont="1" applyFill="1" applyBorder="1" applyAlignment="1" applyProtection="1">
      <alignment horizontal="right"/>
      <protection hidden="1"/>
    </xf>
    <xf numFmtId="3" fontId="13" fillId="7" borderId="5" xfId="0" applyNumberFormat="1" applyFont="1" applyFill="1" applyBorder="1" applyAlignment="1" applyProtection="1">
      <alignment horizontal="right"/>
      <protection locked="0" hidden="1"/>
    </xf>
    <xf numFmtId="3" fontId="1" fillId="7" borderId="6" xfId="0" applyNumberFormat="1" applyFont="1" applyFill="1" applyBorder="1" applyAlignment="1" applyProtection="1">
      <alignment horizontal="right"/>
      <protection locked="0" hidden="1"/>
    </xf>
    <xf numFmtId="3" fontId="1" fillId="7" borderId="1" xfId="0" applyNumberFormat="1" applyFont="1" applyFill="1" applyBorder="1" applyAlignment="1" applyProtection="1">
      <alignment horizontal="right"/>
      <protection locked="0" hidden="1"/>
    </xf>
    <xf numFmtId="0" fontId="6" fillId="7" borderId="2" xfId="0" applyFont="1" applyFill="1" applyBorder="1" applyAlignment="1" applyProtection="1">
      <alignment horizontal="center"/>
      <protection locked="0" hidden="1"/>
    </xf>
    <xf numFmtId="0" fontId="2" fillId="7" borderId="2" xfId="0" applyFont="1" applyFill="1" applyBorder="1" applyAlignment="1" applyProtection="1">
      <alignment horizontal="center"/>
      <protection locked="0" hidden="1"/>
    </xf>
    <xf numFmtId="3" fontId="2" fillId="7" borderId="22" xfId="0" applyNumberFormat="1" applyFont="1" applyFill="1" applyBorder="1" applyAlignment="1" applyProtection="1">
      <alignment horizontal="right"/>
      <protection locked="0" hidden="1"/>
    </xf>
    <xf numFmtId="3" fontId="3" fillId="7" borderId="5" xfId="0" applyNumberFormat="1" applyFont="1" applyFill="1" applyBorder="1" applyAlignment="1" applyProtection="1">
      <alignment horizontal="right"/>
      <protection locked="0" hidden="1"/>
    </xf>
    <xf numFmtId="3" fontId="3" fillId="7" borderId="15" xfId="0" applyNumberFormat="1" applyFont="1" applyFill="1" applyBorder="1" applyAlignment="1" applyProtection="1">
      <alignment horizontal="right"/>
      <protection locked="0" hidden="1"/>
    </xf>
    <xf numFmtId="3" fontId="1" fillId="7" borderId="18" xfId="0" applyNumberFormat="1" applyFont="1" applyFill="1" applyBorder="1" applyAlignment="1" applyProtection="1">
      <alignment horizontal="right"/>
      <protection locked="0" hidden="1"/>
    </xf>
    <xf numFmtId="3" fontId="1" fillId="7" borderId="20" xfId="0" applyNumberFormat="1" applyFont="1" applyFill="1" applyBorder="1" applyAlignment="1" applyProtection="1">
      <alignment horizontal="right"/>
      <protection locked="0" hidden="1"/>
    </xf>
    <xf numFmtId="0" fontId="19" fillId="0" borderId="0" xfId="0" applyFont="1" applyProtection="1">
      <protection hidden="1"/>
    </xf>
    <xf numFmtId="0" fontId="19" fillId="0" borderId="9" xfId="0" applyFont="1" applyBorder="1" applyAlignment="1" applyProtection="1">
      <alignment horizontal="right"/>
      <protection hidden="1"/>
    </xf>
    <xf numFmtId="3" fontId="19" fillId="7" borderId="0" xfId="0" applyNumberFormat="1" applyFont="1" applyFill="1" applyAlignment="1" applyProtection="1">
      <alignment horizontal="right"/>
      <protection hidden="1"/>
    </xf>
    <xf numFmtId="3" fontId="19" fillId="6" borderId="19" xfId="0" applyNumberFormat="1" applyFont="1" applyFill="1" applyBorder="1" applyProtection="1">
      <protection hidden="1"/>
    </xf>
    <xf numFmtId="3" fontId="19" fillId="7" borderId="19" xfId="0" applyNumberFormat="1" applyFont="1" applyFill="1" applyBorder="1" applyProtection="1">
      <protection hidden="1"/>
    </xf>
    <xf numFmtId="3" fontId="19" fillId="3" borderId="19" xfId="0" applyNumberFormat="1" applyFont="1" applyFill="1" applyBorder="1" applyProtection="1">
      <protection hidden="1"/>
    </xf>
    <xf numFmtId="165" fontId="19" fillId="0" borderId="0" xfId="0" applyNumberFormat="1" applyFont="1" applyProtection="1">
      <protection hidden="1"/>
    </xf>
    <xf numFmtId="0" fontId="6" fillId="7" borderId="16" xfId="0" applyFont="1" applyFill="1" applyBorder="1" applyAlignment="1" applyProtection="1">
      <alignment horizontal="center"/>
      <protection hidden="1"/>
    </xf>
    <xf numFmtId="0" fontId="2" fillId="7" borderId="2" xfId="0" applyFont="1" applyFill="1" applyBorder="1" applyProtection="1">
      <protection hidden="1"/>
    </xf>
    <xf numFmtId="3" fontId="2" fillId="7" borderId="0" xfId="0" applyNumberFormat="1" applyFont="1" applyFill="1" applyAlignment="1" applyProtection="1">
      <alignment horizontal="center" vertical="center"/>
      <protection locked="0" hidden="1"/>
    </xf>
    <xf numFmtId="3" fontId="2" fillId="7" borderId="1" xfId="0" applyNumberFormat="1" applyFont="1" applyFill="1" applyBorder="1" applyAlignment="1" applyProtection="1">
      <alignment horizontal="center" vertical="center"/>
      <protection locked="0" hidden="1"/>
    </xf>
    <xf numFmtId="3" fontId="6" fillId="7" borderId="3" xfId="0" applyNumberFormat="1" applyFont="1" applyFill="1" applyBorder="1" applyAlignment="1" applyProtection="1">
      <alignment horizontal="center" vertical="center"/>
      <protection hidden="1"/>
    </xf>
    <xf numFmtId="166" fontId="5" fillId="7" borderId="0" xfId="0" applyNumberFormat="1" applyFont="1" applyFill="1" applyAlignment="1" applyProtection="1">
      <alignment horizontal="center" vertical="center"/>
      <protection locked="0" hidden="1"/>
    </xf>
    <xf numFmtId="3" fontId="12" fillId="7" borderId="19" xfId="0" applyNumberFormat="1" applyFont="1" applyFill="1" applyBorder="1" applyAlignment="1" applyProtection="1">
      <alignment horizontal="center"/>
      <protection hidden="1"/>
    </xf>
    <xf numFmtId="166" fontId="2" fillId="7" borderId="0" xfId="0" applyNumberFormat="1" applyFont="1" applyFill="1" applyAlignment="1" applyProtection="1">
      <alignment horizontal="center" vertical="center"/>
      <protection locked="0" hidden="1"/>
    </xf>
    <xf numFmtId="3" fontId="2" fillId="6" borderId="17" xfId="0" applyNumberFormat="1" applyFont="1" applyFill="1" applyBorder="1" applyAlignment="1" applyProtection="1">
      <alignment horizontal="center" vertical="center"/>
      <protection locked="0" hidden="1"/>
    </xf>
    <xf numFmtId="3" fontId="2" fillId="6" borderId="3" xfId="0" applyNumberFormat="1" applyFont="1" applyFill="1" applyBorder="1" applyAlignment="1" applyProtection="1">
      <alignment horizontal="center"/>
      <protection locked="0" hidden="1"/>
    </xf>
    <xf numFmtId="3" fontId="2" fillId="6" borderId="19" xfId="0" applyNumberFormat="1" applyFont="1" applyFill="1" applyBorder="1" applyAlignment="1" applyProtection="1">
      <alignment horizontal="center" vertical="center"/>
      <protection locked="0" hidden="1"/>
    </xf>
    <xf numFmtId="3" fontId="2" fillId="6" borderId="0" xfId="0" applyNumberFormat="1" applyFont="1" applyFill="1" applyAlignment="1" applyProtection="1">
      <alignment horizontal="center"/>
      <protection locked="0" hidden="1"/>
    </xf>
    <xf numFmtId="3" fontId="2" fillId="6" borderId="0" xfId="0" applyNumberFormat="1" applyFont="1" applyFill="1" applyAlignment="1">
      <alignment horizontal="center"/>
    </xf>
    <xf numFmtId="3" fontId="2" fillId="6" borderId="15" xfId="0" applyNumberFormat="1" applyFont="1" applyFill="1" applyBorder="1" applyAlignment="1" applyProtection="1">
      <alignment horizontal="center" vertical="center"/>
      <protection locked="0" hidden="1"/>
    </xf>
    <xf numFmtId="3" fontId="2" fillId="6" borderId="1" xfId="0" applyNumberFormat="1" applyFont="1" applyFill="1" applyBorder="1" applyAlignment="1" applyProtection="1">
      <alignment horizontal="center"/>
      <protection locked="0" hidden="1"/>
    </xf>
    <xf numFmtId="3" fontId="6" fillId="6" borderId="17" xfId="0" applyNumberFormat="1" applyFont="1" applyFill="1" applyBorder="1" applyAlignment="1" applyProtection="1">
      <alignment horizontal="right" vertical="center"/>
      <protection hidden="1"/>
    </xf>
    <xf numFmtId="165" fontId="5" fillId="6" borderId="3" xfId="0" applyNumberFormat="1" applyFont="1" applyFill="1" applyBorder="1" applyAlignment="1" applyProtection="1">
      <alignment horizontal="center"/>
      <protection hidden="1"/>
    </xf>
    <xf numFmtId="2" fontId="12" fillId="6" borderId="19" xfId="0" applyNumberFormat="1" applyFont="1" applyFill="1" applyBorder="1" applyAlignment="1" applyProtection="1">
      <alignment horizontal="center"/>
      <protection hidden="1"/>
    </xf>
    <xf numFmtId="2" fontId="12" fillId="6" borderId="0" xfId="0" applyNumberFormat="1" applyFont="1" applyFill="1" applyAlignment="1" applyProtection="1">
      <alignment horizontal="center"/>
      <protection hidden="1"/>
    </xf>
    <xf numFmtId="3" fontId="6" fillId="6" borderId="19" xfId="0" applyNumberFormat="1" applyFont="1" applyFill="1" applyBorder="1" applyAlignment="1" applyProtection="1">
      <alignment horizontal="right" vertical="center"/>
      <protection hidden="1"/>
    </xf>
    <xf numFmtId="165" fontId="5" fillId="6" borderId="0" xfId="0" applyNumberFormat="1" applyFont="1" applyFill="1" applyAlignment="1" applyProtection="1">
      <alignment horizontal="center"/>
      <protection hidden="1"/>
    </xf>
    <xf numFmtId="3" fontId="2" fillId="6" borderId="0" xfId="0" applyNumberFormat="1" applyFont="1" applyFill="1" applyAlignment="1" applyProtection="1">
      <alignment horizontal="center" vertical="center"/>
      <protection locked="0" hidden="1"/>
    </xf>
    <xf numFmtId="3" fontId="2" fillId="6" borderId="1" xfId="0" applyNumberFormat="1" applyFont="1" applyFill="1" applyBorder="1" applyAlignment="1" applyProtection="1">
      <alignment horizontal="center" vertical="center"/>
      <protection locked="0" hidden="1"/>
    </xf>
    <xf numFmtId="3" fontId="6" fillId="6" borderId="3" xfId="0" applyNumberFormat="1" applyFont="1" applyFill="1" applyBorder="1" applyAlignment="1" applyProtection="1">
      <alignment horizontal="center" vertical="center"/>
      <protection hidden="1"/>
    </xf>
    <xf numFmtId="166" fontId="5" fillId="6" borderId="0" xfId="0" applyNumberFormat="1" applyFont="1" applyFill="1" applyAlignment="1" applyProtection="1">
      <alignment horizontal="center" vertical="center"/>
      <protection locked="0" hidden="1"/>
    </xf>
    <xf numFmtId="3" fontId="12" fillId="6" borderId="19" xfId="0" applyNumberFormat="1" applyFont="1" applyFill="1" applyBorder="1" applyAlignment="1" applyProtection="1">
      <alignment horizontal="center"/>
      <protection hidden="1"/>
    </xf>
    <xf numFmtId="166" fontId="2" fillId="6" borderId="0" xfId="0" applyNumberFormat="1" applyFont="1" applyFill="1" applyAlignment="1" applyProtection="1">
      <alignment horizontal="center" vertical="center"/>
      <protection locked="0" hidden="1"/>
    </xf>
    <xf numFmtId="3" fontId="2" fillId="8" borderId="17" xfId="0" applyNumberFormat="1" applyFont="1" applyFill="1" applyBorder="1" applyAlignment="1" applyProtection="1">
      <alignment horizontal="center" vertical="center"/>
      <protection locked="0" hidden="1"/>
    </xf>
    <xf numFmtId="3" fontId="2" fillId="8" borderId="3" xfId="0" applyNumberFormat="1" applyFont="1" applyFill="1" applyBorder="1" applyAlignment="1" applyProtection="1">
      <alignment horizontal="center"/>
      <protection locked="0" hidden="1"/>
    </xf>
    <xf numFmtId="3" fontId="2" fillId="8" borderId="19" xfId="0" applyNumberFormat="1" applyFont="1" applyFill="1" applyBorder="1" applyAlignment="1" applyProtection="1">
      <alignment horizontal="center" vertical="center"/>
      <protection locked="0" hidden="1"/>
    </xf>
    <xf numFmtId="3" fontId="2" fillId="8" borderId="0" xfId="0" applyNumberFormat="1" applyFont="1" applyFill="1" applyAlignment="1" applyProtection="1">
      <alignment horizontal="center"/>
      <protection locked="0" hidden="1"/>
    </xf>
    <xf numFmtId="3" fontId="2" fillId="8" borderId="0" xfId="0" applyNumberFormat="1" applyFont="1" applyFill="1" applyAlignment="1">
      <alignment horizontal="center"/>
    </xf>
    <xf numFmtId="3" fontId="2" fillId="8" borderId="15" xfId="0" applyNumberFormat="1" applyFont="1" applyFill="1" applyBorder="1" applyAlignment="1" applyProtection="1">
      <alignment horizontal="center" vertical="center"/>
      <protection locked="0" hidden="1"/>
    </xf>
    <xf numFmtId="3" fontId="2" fillId="8" borderId="1" xfId="0" applyNumberFormat="1" applyFont="1" applyFill="1" applyBorder="1" applyAlignment="1" applyProtection="1">
      <alignment horizontal="center"/>
      <protection locked="0" hidden="1"/>
    </xf>
    <xf numFmtId="3" fontId="6" fillId="8" borderId="17" xfId="0" applyNumberFormat="1" applyFont="1" applyFill="1" applyBorder="1" applyAlignment="1" applyProtection="1">
      <alignment horizontal="right"/>
      <protection hidden="1"/>
    </xf>
    <xf numFmtId="165" fontId="5" fillId="8" borderId="3" xfId="0" applyNumberFormat="1" applyFont="1" applyFill="1" applyBorder="1" applyProtection="1">
      <protection hidden="1"/>
    </xf>
    <xf numFmtId="2" fontId="12" fillId="8" borderId="21" xfId="0" applyNumberFormat="1" applyFont="1" applyFill="1" applyBorder="1" applyAlignment="1" applyProtection="1">
      <alignment horizontal="center"/>
      <protection hidden="1"/>
    </xf>
    <xf numFmtId="2" fontId="12" fillId="8" borderId="0" xfId="0" applyNumberFormat="1" applyFont="1" applyFill="1" applyProtection="1">
      <protection hidden="1"/>
    </xf>
    <xf numFmtId="3" fontId="4" fillId="8" borderId="19" xfId="0" applyNumberFormat="1" applyFont="1" applyFill="1" applyBorder="1" applyAlignment="1" applyProtection="1">
      <alignment horizontal="center"/>
      <protection hidden="1"/>
    </xf>
  </cellXfs>
  <cellStyles count="1">
    <cellStyle name="Normale" xfId="0" builtinId="0"/>
  </cellStyles>
  <dxfs count="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mruColors>
      <color rgb="FFD7D4D1"/>
      <color rgb="FFFDFBF7"/>
      <color rgb="FFB87333"/>
      <color rgb="FFE7E9E2"/>
      <color rgb="FF333333"/>
      <color rgb="FFF1E7A1"/>
      <color rgb="FFF0EA9A"/>
      <color rgb="FF284472"/>
      <color rgb="FF008000"/>
      <color rgb="FFEEE1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B4C0B-CCD4-47F7-9905-20AC3A74C677}">
  <dimension ref="A1:P57"/>
  <sheetViews>
    <sheetView showGridLines="0" tabSelected="1" topLeftCell="A21" zoomScaleNormal="100" workbookViewId="0">
      <selection activeCell="K59" sqref="K59"/>
    </sheetView>
  </sheetViews>
  <sheetFormatPr defaultRowHeight="14.25" x14ac:dyDescent="0.3"/>
  <cols>
    <col min="1" max="1" width="9.42578125" style="14" customWidth="1"/>
    <col min="2" max="2" width="17.7109375" style="14" customWidth="1"/>
    <col min="3" max="3" width="15.42578125" style="48" customWidth="1"/>
    <col min="4" max="4" width="8.7109375" style="14" customWidth="1"/>
    <col min="5" max="5" width="7.7109375" style="14" hidden="1" customWidth="1"/>
    <col min="6" max="6" width="12.5703125" style="48" customWidth="1"/>
    <col min="7" max="7" width="10.140625" style="14" customWidth="1"/>
    <col min="8" max="8" width="12.7109375" style="48" customWidth="1"/>
    <col min="9" max="9" width="7.7109375" style="14" customWidth="1"/>
    <col min="10" max="10" width="12.7109375" style="48" customWidth="1"/>
    <col min="11" max="11" width="7.7109375" style="14" customWidth="1"/>
    <col min="12" max="12" width="12.7109375" style="48" customWidth="1"/>
    <col min="13" max="13" width="7.7109375" style="14" customWidth="1"/>
    <col min="14" max="14" width="12.7109375" style="48" customWidth="1"/>
    <col min="15" max="15" width="7.7109375" style="14" customWidth="1"/>
    <col min="16" max="19" width="16.42578125" style="14" customWidth="1"/>
    <col min="20" max="16384" width="9.140625" style="14"/>
  </cols>
  <sheetData>
    <row r="1" spans="1:16" ht="23.25" customHeight="1" x14ac:dyDescent="0.3">
      <c r="A1" s="110" t="s">
        <v>41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</row>
    <row r="2" spans="1:16" ht="7.5" customHeight="1" x14ac:dyDescent="0.3">
      <c r="A2" s="13"/>
      <c r="B2" s="13"/>
      <c r="C2" s="50"/>
      <c r="D2" s="13"/>
      <c r="E2" s="13"/>
      <c r="F2" s="50"/>
      <c r="G2" s="13"/>
      <c r="H2" s="50"/>
    </row>
    <row r="3" spans="1:16" ht="14.1" customHeight="1" x14ac:dyDescent="0.3">
      <c r="A3" s="16"/>
      <c r="B3" s="17" t="s">
        <v>22</v>
      </c>
      <c r="C3" s="137">
        <v>2023</v>
      </c>
      <c r="D3" s="138"/>
      <c r="E3" s="18"/>
      <c r="F3" s="67">
        <v>2023</v>
      </c>
      <c r="G3" s="124"/>
      <c r="H3" s="137">
        <v>2024</v>
      </c>
      <c r="I3" s="137"/>
      <c r="J3" s="67">
        <v>2025</v>
      </c>
      <c r="K3" s="68"/>
      <c r="L3" s="151" t="s">
        <v>43</v>
      </c>
      <c r="M3" s="152"/>
      <c r="N3" s="67" t="s">
        <v>44</v>
      </c>
      <c r="O3" s="68"/>
    </row>
    <row r="4" spans="1:16" s="19" customFormat="1" ht="7.5" customHeight="1" x14ac:dyDescent="0.3">
      <c r="C4" s="49"/>
      <c r="D4" s="19" t="e">
        <f>YEAR(#REF!)</f>
        <v>#REF!</v>
      </c>
      <c r="F4" s="49"/>
      <c r="H4" s="57" t="e">
        <f>IF(H6&lt;D4,(F3+1)," - previsione")</f>
        <v>#REF!</v>
      </c>
      <c r="J4" s="49" t="e">
        <f>IF(J6&lt;D4,(H3+1)," - previsione")</f>
        <v>#REF!</v>
      </c>
      <c r="L4" s="49" t="e">
        <f>IF(L6&lt;D4,(J3+1)," - previsione")</f>
        <v>#REF!</v>
      </c>
      <c r="N4" s="49" t="e">
        <f>IF(N6&lt;#REF!,(L3+1)," - previsione")</f>
        <v>#REF!</v>
      </c>
    </row>
    <row r="5" spans="1:16" ht="14.1" customHeight="1" x14ac:dyDescent="0.3">
      <c r="A5" s="110" t="s">
        <v>5</v>
      </c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</row>
    <row r="6" spans="1:16" s="19" customFormat="1" ht="7.5" customHeight="1" x14ac:dyDescent="0.3">
      <c r="C6" s="49"/>
      <c r="F6" s="49">
        <f>C3+1</f>
        <v>2024</v>
      </c>
      <c r="H6" s="49">
        <f>F6+1</f>
        <v>2025</v>
      </c>
      <c r="I6" s="19" t="e">
        <f>IF((H6=H4),H6,_xlfn.CONCAT(H6,H4))</f>
        <v>#REF!</v>
      </c>
      <c r="J6" s="49">
        <f>H6+1</f>
        <v>2026</v>
      </c>
      <c r="K6" s="19" t="e">
        <f>IF((J6=J4),J6,_xlfn.CONCAT(J6,J4))</f>
        <v>#REF!</v>
      </c>
      <c r="L6" s="49">
        <f>J6+1</f>
        <v>2027</v>
      </c>
      <c r="M6" s="19" t="e">
        <f>IF((L6=L4),L6,_xlfn.CONCAT(L6,L4))</f>
        <v>#REF!</v>
      </c>
      <c r="N6" s="49">
        <f>L6+1</f>
        <v>2028</v>
      </c>
      <c r="O6" s="19" t="e">
        <f>IF((N6=N4),N6,_xlfn.CONCAT(N6,N4))</f>
        <v>#REF!</v>
      </c>
      <c r="P6" s="19" t="e">
        <f>IF((O6=O4),O6,_xlfn.CONCAT(O6,O4))</f>
        <v>#REF!</v>
      </c>
    </row>
    <row r="7" spans="1:16" ht="14.1" customHeight="1" x14ac:dyDescent="0.3">
      <c r="A7" s="20" t="s">
        <v>0</v>
      </c>
      <c r="B7" s="21"/>
      <c r="C7" s="125">
        <v>0</v>
      </c>
      <c r="D7" s="1" t="e">
        <f>C7/$C$12</f>
        <v>#DIV/0!</v>
      </c>
      <c r="E7" s="2"/>
      <c r="F7" s="112">
        <v>0</v>
      </c>
      <c r="G7" s="3" t="e">
        <f>F7/$F$12</f>
        <v>#DIV/0!</v>
      </c>
      <c r="H7" s="139">
        <v>0</v>
      </c>
      <c r="I7" s="1" t="e">
        <f>H7/$H$12</f>
        <v>#DIV/0!</v>
      </c>
      <c r="J7" s="112">
        <v>0</v>
      </c>
      <c r="K7" s="3" t="e">
        <f>J7/$J$12</f>
        <v>#DIV/0!</v>
      </c>
      <c r="L7" s="139">
        <v>0</v>
      </c>
      <c r="M7" s="1" t="e">
        <f>L7/$L$12</f>
        <v>#DIV/0!</v>
      </c>
      <c r="N7" s="112">
        <v>0</v>
      </c>
      <c r="O7" s="3" t="e">
        <f>N7/$N$12</f>
        <v>#DIV/0!</v>
      </c>
    </row>
    <row r="8" spans="1:16" ht="14.1" customHeight="1" x14ac:dyDescent="0.3">
      <c r="A8" s="22" t="s">
        <v>30</v>
      </c>
      <c r="B8" s="23"/>
      <c r="C8" s="126">
        <v>0</v>
      </c>
      <c r="D8" s="4" t="e">
        <f>C8/$C$12</f>
        <v>#DIV/0!</v>
      </c>
      <c r="E8" s="4"/>
      <c r="F8" s="113">
        <v>0</v>
      </c>
      <c r="G8" s="5" t="e">
        <f>F8/$F$12</f>
        <v>#DIV/0!</v>
      </c>
      <c r="H8" s="140">
        <v>0</v>
      </c>
      <c r="I8" s="4" t="e">
        <f>H8/$H$12</f>
        <v>#DIV/0!</v>
      </c>
      <c r="J8" s="113">
        <v>0</v>
      </c>
      <c r="K8" s="5" t="e">
        <f>J8/$J$12</f>
        <v>#DIV/0!</v>
      </c>
      <c r="L8" s="140">
        <v>0</v>
      </c>
      <c r="M8" s="4" t="e">
        <f>L8/$L$12</f>
        <v>#DIV/0!</v>
      </c>
      <c r="N8" s="113">
        <v>0</v>
      </c>
      <c r="O8" s="5" t="e">
        <f>N8/$N$12</f>
        <v>#DIV/0!</v>
      </c>
    </row>
    <row r="9" spans="1:16" ht="14.1" customHeight="1" x14ac:dyDescent="0.3">
      <c r="A9" s="22" t="s">
        <v>29</v>
      </c>
      <c r="B9" s="23"/>
      <c r="C9" s="127">
        <v>0</v>
      </c>
      <c r="D9" s="4" t="e">
        <f>C9/$C$12</f>
        <v>#DIV/0!</v>
      </c>
      <c r="E9" s="6"/>
      <c r="F9" s="114">
        <v>0</v>
      </c>
      <c r="G9" s="5" t="e">
        <f>F9/$F$12</f>
        <v>#DIV/0!</v>
      </c>
      <c r="H9" s="140">
        <v>0</v>
      </c>
      <c r="I9" s="4" t="e">
        <f>H9/$H$12</f>
        <v>#DIV/0!</v>
      </c>
      <c r="J9" s="114">
        <v>0</v>
      </c>
      <c r="K9" s="5" t="e">
        <f>J9/$J$12</f>
        <v>#DIV/0!</v>
      </c>
      <c r="L9" s="140">
        <v>0</v>
      </c>
      <c r="M9" s="4" t="e">
        <f>L9/$L$12</f>
        <v>#DIV/0!</v>
      </c>
      <c r="N9" s="114">
        <v>0</v>
      </c>
      <c r="O9" s="5" t="e">
        <f>N9/$N$12</f>
        <v>#DIV/0!</v>
      </c>
    </row>
    <row r="10" spans="1:16" ht="14.1" customHeight="1" x14ac:dyDescent="0.3">
      <c r="A10" s="69" t="s">
        <v>15</v>
      </c>
      <c r="B10" s="70"/>
      <c r="C10" s="126">
        <v>0</v>
      </c>
      <c r="D10" s="4" t="e">
        <f>C10/$C$12</f>
        <v>#DIV/0!</v>
      </c>
      <c r="E10" s="4"/>
      <c r="F10" s="113">
        <v>0</v>
      </c>
      <c r="G10" s="5" t="e">
        <f>F10/$F$12</f>
        <v>#DIV/0!</v>
      </c>
      <c r="H10" s="140">
        <v>0</v>
      </c>
      <c r="I10" s="4" t="e">
        <f>H10/$H$12</f>
        <v>#DIV/0!</v>
      </c>
      <c r="J10" s="113">
        <v>0</v>
      </c>
      <c r="K10" s="5" t="e">
        <f>J10/$J$12</f>
        <v>#DIV/0!</v>
      </c>
      <c r="L10" s="140">
        <v>0</v>
      </c>
      <c r="M10" s="4" t="e">
        <f>L10/$L$12</f>
        <v>#DIV/0!</v>
      </c>
      <c r="N10" s="113">
        <v>0</v>
      </c>
      <c r="O10" s="5" t="e">
        <f>N10/$N$12</f>
        <v>#DIV/0!</v>
      </c>
    </row>
    <row r="11" spans="1:16" ht="14.1" customHeight="1" x14ac:dyDescent="0.3">
      <c r="A11" s="25" t="s">
        <v>1</v>
      </c>
      <c r="B11" s="7"/>
      <c r="C11" s="128">
        <v>0</v>
      </c>
      <c r="D11" s="8" t="e">
        <f>C11/$C$12</f>
        <v>#DIV/0!</v>
      </c>
      <c r="E11" s="8"/>
      <c r="F11" s="115">
        <v>0</v>
      </c>
      <c r="G11" s="9" t="e">
        <f>F11/$F$12</f>
        <v>#DIV/0!</v>
      </c>
      <c r="H11" s="141">
        <v>0</v>
      </c>
      <c r="I11" s="8" t="e">
        <f>H11/$H$12</f>
        <v>#DIV/0!</v>
      </c>
      <c r="J11" s="115">
        <v>0</v>
      </c>
      <c r="K11" s="9" t="e">
        <f>J11/$J$12</f>
        <v>#DIV/0!</v>
      </c>
      <c r="L11" s="141">
        <v>0</v>
      </c>
      <c r="M11" s="8" t="e">
        <f>L11/$L$12</f>
        <v>#DIV/0!</v>
      </c>
      <c r="N11" s="115">
        <v>0</v>
      </c>
      <c r="O11" s="9" t="e">
        <f>N11/$N$12</f>
        <v>#DIV/0!</v>
      </c>
    </row>
    <row r="12" spans="1:16" s="144" customFormat="1" ht="14.1" customHeight="1" x14ac:dyDescent="0.25">
      <c r="B12" s="145" t="s">
        <v>17</v>
      </c>
      <c r="C12" s="146">
        <f>SUM(C7:C11)</f>
        <v>0</v>
      </c>
      <c r="D12" s="150" t="e">
        <f>SUM(D7:D11)</f>
        <v>#DIV/0!</v>
      </c>
      <c r="E12" s="150"/>
      <c r="F12" s="147">
        <f>SUM(F7:F11)</f>
        <v>0</v>
      </c>
      <c r="G12" s="150" t="e">
        <f>SUM(G7:G11)</f>
        <v>#DIV/0!</v>
      </c>
      <c r="H12" s="148">
        <f>SUM(H7:H11)</f>
        <v>0</v>
      </c>
      <c r="I12" s="150" t="e">
        <f>SUM(I7:I11)</f>
        <v>#DIV/0!</v>
      </c>
      <c r="J12" s="149">
        <f>SUM(J7:J11)</f>
        <v>0</v>
      </c>
      <c r="K12" s="150" t="e">
        <f>SUM(K7:K11)</f>
        <v>#DIV/0!</v>
      </c>
      <c r="L12" s="148">
        <f>SUM(L7:L11)</f>
        <v>0</v>
      </c>
      <c r="M12" s="150" t="e">
        <f>SUM(M7:M11)</f>
        <v>#DIV/0!</v>
      </c>
      <c r="N12" s="147">
        <f>SUM(N7:N11)</f>
        <v>0</v>
      </c>
      <c r="O12" s="150" t="e">
        <f>SUM(O7:O11)</f>
        <v>#DIV/0!</v>
      </c>
    </row>
    <row r="13" spans="1:16" ht="7.5" customHeight="1" x14ac:dyDescent="0.3"/>
    <row r="14" spans="1:16" ht="14.1" customHeight="1" x14ac:dyDescent="0.3">
      <c r="A14" s="110" t="s">
        <v>6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</row>
    <row r="15" spans="1:16" ht="7.5" customHeight="1" x14ac:dyDescent="0.3">
      <c r="A15" s="24"/>
      <c r="B15" s="24"/>
      <c r="C15" s="50"/>
      <c r="D15" s="13"/>
      <c r="E15" s="13"/>
      <c r="F15" s="50"/>
      <c r="G15" s="13"/>
      <c r="H15" s="50"/>
      <c r="I15" s="13"/>
      <c r="J15" s="50"/>
      <c r="K15" s="13"/>
      <c r="L15" s="50"/>
      <c r="M15" s="13"/>
      <c r="N15" s="50"/>
      <c r="O15" s="13"/>
    </row>
    <row r="16" spans="1:16" s="15" customFormat="1" ht="14.1" customHeight="1" x14ac:dyDescent="0.25">
      <c r="A16" s="20" t="s">
        <v>32</v>
      </c>
      <c r="B16" s="109"/>
      <c r="C16" s="129">
        <f>C17+C22+C26</f>
        <v>0</v>
      </c>
      <c r="D16" s="83" t="e">
        <f>C16/$C$12</f>
        <v>#DIV/0!</v>
      </c>
      <c r="E16" s="84"/>
      <c r="F16" s="116">
        <f>SUM(F17:F26)</f>
        <v>0</v>
      </c>
      <c r="G16" s="84" t="e">
        <f>F16/$F$12</f>
        <v>#DIV/0!</v>
      </c>
      <c r="H16" s="129">
        <f>SUM(H17:H26)</f>
        <v>0</v>
      </c>
      <c r="I16" s="84" t="e">
        <f t="shared" ref="I16:I28" si="0">H16/$H$12</f>
        <v>#DIV/0!</v>
      </c>
      <c r="J16" s="85">
        <f>SUM(J17:J26)</f>
        <v>0</v>
      </c>
      <c r="K16" s="84" t="e">
        <f t="shared" ref="K16:K28" si="1">J16/$J$12</f>
        <v>#DIV/0!</v>
      </c>
      <c r="L16" s="129">
        <f>SUM(L17:L26)</f>
        <v>0</v>
      </c>
      <c r="M16" s="84" t="e">
        <f>L16/$L$12</f>
        <v>#DIV/0!</v>
      </c>
      <c r="N16" s="116">
        <f>SUM(N17:N26)</f>
        <v>0</v>
      </c>
      <c r="O16" s="84" t="e">
        <f>N16/$N$12</f>
        <v>#DIV/0!</v>
      </c>
    </row>
    <row r="17" spans="1:15" s="86" customFormat="1" ht="14.1" customHeight="1" x14ac:dyDescent="0.25">
      <c r="A17" s="87" t="s">
        <v>26</v>
      </c>
      <c r="B17" s="88" t="s">
        <v>33</v>
      </c>
      <c r="C17" s="130">
        <f>SUM(C18:C21)</f>
        <v>0</v>
      </c>
      <c r="D17" s="100" t="e">
        <f>IF(C17="nd","-",C17/$C$12)</f>
        <v>#DIV/0!</v>
      </c>
      <c r="E17" s="101"/>
      <c r="F17" s="117">
        <f>SUM(F18:F21)</f>
        <v>0</v>
      </c>
      <c r="G17" s="101" t="e">
        <f>IF(F17="nd","-",F17/$F$12)</f>
        <v>#DIV/0!</v>
      </c>
      <c r="H17" s="130">
        <f>SUM(H18:H21)</f>
        <v>0</v>
      </c>
      <c r="I17" s="101" t="e">
        <f>IF(H17="nd","-",H17/$H$12)</f>
        <v>#DIV/0!</v>
      </c>
      <c r="J17" s="102">
        <f>SUM(J18:J21)</f>
        <v>0</v>
      </c>
      <c r="K17" s="101" t="e">
        <f>IF(J17="nd","-",J17/$J$12)</f>
        <v>#DIV/0!</v>
      </c>
      <c r="L17" s="130">
        <f>SUM(L18:L21)</f>
        <v>0</v>
      </c>
      <c r="M17" s="101" t="e">
        <f>IF(L17="nd","-",L17/$L$12)</f>
        <v>#DIV/0!</v>
      </c>
      <c r="N17" s="117">
        <f>SUM(N18:N21)</f>
        <v>0</v>
      </c>
      <c r="O17" s="101" t="e">
        <f>IF(N17="nd","-",N17/$N$12)</f>
        <v>#DIV/0!</v>
      </c>
    </row>
    <row r="18" spans="1:15" s="80" customFormat="1" ht="14.1" customHeight="1" x14ac:dyDescent="0.25">
      <c r="A18" s="81"/>
      <c r="B18" s="82" t="s">
        <v>35</v>
      </c>
      <c r="C18" s="131">
        <v>0</v>
      </c>
      <c r="D18" s="103" t="e">
        <f>IF(C18="nd","-",C18/$C$12)</f>
        <v>#DIV/0!</v>
      </c>
      <c r="E18" s="104"/>
      <c r="F18" s="118">
        <v>0</v>
      </c>
      <c r="G18" s="104" t="e">
        <f>IF(F18="nd","-",F18/$F$12)</f>
        <v>#DIV/0!</v>
      </c>
      <c r="H18" s="131">
        <v>0</v>
      </c>
      <c r="I18" s="104" t="e">
        <f>IF(H18="nd","-",H18/$H$12)</f>
        <v>#DIV/0!</v>
      </c>
      <c r="J18" s="105">
        <v>0</v>
      </c>
      <c r="K18" s="104" t="e">
        <f t="shared" ref="K18" si="2">IF(J18="nd","-",J18/$J$12)</f>
        <v>#DIV/0!</v>
      </c>
      <c r="L18" s="131">
        <v>0</v>
      </c>
      <c r="M18" s="104" t="e">
        <f t="shared" ref="M18" si="3">IF(L18="nd","-",L18/$L$12)</f>
        <v>#DIV/0!</v>
      </c>
      <c r="N18" s="118">
        <v>0</v>
      </c>
      <c r="O18" s="104" t="e">
        <f>IF(N18="nd","-",N18/$N$12)</f>
        <v>#DIV/0!</v>
      </c>
    </row>
    <row r="19" spans="1:15" s="80" customFormat="1" ht="14.1" customHeight="1" x14ac:dyDescent="0.25">
      <c r="A19" s="81"/>
      <c r="B19" s="82" t="s">
        <v>34</v>
      </c>
      <c r="C19" s="131">
        <v>0</v>
      </c>
      <c r="D19" s="103" t="e">
        <f>IF(C19="nd","-",C19/$C$12)</f>
        <v>#DIV/0!</v>
      </c>
      <c r="E19" s="104"/>
      <c r="F19" s="118">
        <v>0</v>
      </c>
      <c r="G19" s="104" t="e">
        <f>IF(F19="nd","-",F19/$F$12)</f>
        <v>#DIV/0!</v>
      </c>
      <c r="H19" s="131">
        <v>0</v>
      </c>
      <c r="I19" s="104" t="e">
        <f>IF(H19="nd","-",H19/$H$12)</f>
        <v>#DIV/0!</v>
      </c>
      <c r="J19" s="105">
        <v>0</v>
      </c>
      <c r="K19" s="104" t="e">
        <f>IF(J19="nd","-",J19/$J$12)</f>
        <v>#DIV/0!</v>
      </c>
      <c r="L19" s="131">
        <v>0</v>
      </c>
      <c r="M19" s="104" t="e">
        <f>IF(L19="nd","-",L19/$L$12)</f>
        <v>#DIV/0!</v>
      </c>
      <c r="N19" s="118">
        <v>0</v>
      </c>
      <c r="O19" s="104" t="e">
        <f>IF(N19="nd","-",N19/$N$12)</f>
        <v>#DIV/0!</v>
      </c>
    </row>
    <row r="20" spans="1:15" s="80" customFormat="1" ht="14.1" customHeight="1" x14ac:dyDescent="0.25">
      <c r="A20" s="81"/>
      <c r="B20" s="82" t="s">
        <v>36</v>
      </c>
      <c r="C20" s="131">
        <v>0</v>
      </c>
      <c r="D20" s="103" t="e">
        <f>IF(C20="nd","-",C20/$C$12)</f>
        <v>#DIV/0!</v>
      </c>
      <c r="E20" s="104"/>
      <c r="F20" s="118">
        <v>0</v>
      </c>
      <c r="G20" s="104" t="e">
        <f>IF(F20="nd","-",F20/$F$12)</f>
        <v>#DIV/0!</v>
      </c>
      <c r="H20" s="131">
        <v>0</v>
      </c>
      <c r="I20" s="104" t="e">
        <f>IF(H20="nd","-",H20/$H$12)</f>
        <v>#DIV/0!</v>
      </c>
      <c r="J20" s="105">
        <v>0</v>
      </c>
      <c r="K20" s="104" t="e">
        <f>IF(J20="nd","-",J20/$J$12)</f>
        <v>#DIV/0!</v>
      </c>
      <c r="L20" s="131">
        <v>0</v>
      </c>
      <c r="M20" s="104" t="e">
        <f>IF(L20="nd","-",L20/$L$12)</f>
        <v>#DIV/0!</v>
      </c>
      <c r="N20" s="118">
        <v>0</v>
      </c>
      <c r="O20" s="104" t="e">
        <f>IF(N20="nd","-",N20/$N$12)</f>
        <v>#DIV/0!</v>
      </c>
    </row>
    <row r="21" spans="1:15" s="80" customFormat="1" ht="14.1" customHeight="1" x14ac:dyDescent="0.25">
      <c r="A21" s="81"/>
      <c r="B21" s="82" t="s">
        <v>37</v>
      </c>
      <c r="C21" s="131">
        <v>0</v>
      </c>
      <c r="D21" s="103" t="e">
        <f>IF(C21="nd","-",C21/$C$12)</f>
        <v>#DIV/0!</v>
      </c>
      <c r="E21" s="104"/>
      <c r="F21" s="118">
        <v>0</v>
      </c>
      <c r="G21" s="104" t="e">
        <f>IF(F21="nd","-",F21/$F$12)</f>
        <v>#DIV/0!</v>
      </c>
      <c r="H21" s="131">
        <v>0</v>
      </c>
      <c r="I21" s="104" t="e">
        <f>IF(H21="nd","-",H21/$H$12)</f>
        <v>#DIV/0!</v>
      </c>
      <c r="J21" s="105">
        <v>0</v>
      </c>
      <c r="K21" s="104" t="e">
        <f t="shared" ref="K21" si="4">IF(J21="nd","-",J21/$J$12)</f>
        <v>#DIV/0!</v>
      </c>
      <c r="L21" s="131">
        <v>0</v>
      </c>
      <c r="M21" s="104" t="e">
        <f t="shared" ref="M21" si="5">IF(L21="nd","-",L21/$L$12)</f>
        <v>#DIV/0!</v>
      </c>
      <c r="N21" s="118">
        <v>0</v>
      </c>
      <c r="O21" s="104" t="e">
        <f>IF(N21="nd","-",N21/$N$12)</f>
        <v>#DIV/0!</v>
      </c>
    </row>
    <row r="22" spans="1:15" s="86" customFormat="1" ht="14.1" customHeight="1" x14ac:dyDescent="0.25">
      <c r="A22" s="87" t="s">
        <v>26</v>
      </c>
      <c r="B22" s="88" t="s">
        <v>27</v>
      </c>
      <c r="C22" s="130">
        <f>SUM(C23:C25)</f>
        <v>0</v>
      </c>
      <c r="D22" s="100" t="e">
        <f>IF(C22="nd","-",C22/$C$12)</f>
        <v>#DIV/0!</v>
      </c>
      <c r="E22" s="101"/>
      <c r="F22" s="117">
        <f>SUM(F23:F25)</f>
        <v>0</v>
      </c>
      <c r="G22" s="101" t="e">
        <f>IF(F22="nd","-",F22/$F$12)</f>
        <v>#DIV/0!</v>
      </c>
      <c r="H22" s="130">
        <f>SUM(H23:H25)</f>
        <v>0</v>
      </c>
      <c r="I22" s="101" t="e">
        <f>IF(H22="nd","-",H22/$H$12)</f>
        <v>#DIV/0!</v>
      </c>
      <c r="J22" s="102">
        <f>SUM(J23:J25)</f>
        <v>0</v>
      </c>
      <c r="K22" s="101" t="e">
        <f t="shared" ref="K22" si="6">IF(J22="nd","-",J22/$J$12)</f>
        <v>#DIV/0!</v>
      </c>
      <c r="L22" s="130">
        <f>SUM(L23:L25)</f>
        <v>0</v>
      </c>
      <c r="M22" s="101" t="e">
        <f t="shared" ref="M22" si="7">IF(L22="nd","-",L22/$L$12)</f>
        <v>#DIV/0!</v>
      </c>
      <c r="N22" s="117">
        <f>SUM(N23:N25)</f>
        <v>0</v>
      </c>
      <c r="O22" s="101" t="e">
        <f t="shared" ref="O22" si="8">IF(N22="nd","-",N22/$N$12)</f>
        <v>#DIV/0!</v>
      </c>
    </row>
    <row r="23" spans="1:15" s="80" customFormat="1" ht="14.1" customHeight="1" x14ac:dyDescent="0.25">
      <c r="A23" s="81"/>
      <c r="B23" s="82" t="s">
        <v>38</v>
      </c>
      <c r="C23" s="131">
        <v>0</v>
      </c>
      <c r="D23" s="103" t="e">
        <f>IF(C23="nd","-",C23/$C$12)</f>
        <v>#DIV/0!</v>
      </c>
      <c r="E23" s="104"/>
      <c r="F23" s="118">
        <v>0</v>
      </c>
      <c r="G23" s="104" t="e">
        <f>IF(F23="nd","-",F23/$F$12)</f>
        <v>#DIV/0!</v>
      </c>
      <c r="H23" s="131">
        <v>0</v>
      </c>
      <c r="I23" s="104" t="e">
        <f>IF(H23="nd","-",H23/$H$12)</f>
        <v>#DIV/0!</v>
      </c>
      <c r="J23" s="105">
        <v>0</v>
      </c>
      <c r="K23" s="104" t="e">
        <f>IF(J23="nd","-",J23/$J$12)</f>
        <v>#DIV/0!</v>
      </c>
      <c r="L23" s="131">
        <v>0</v>
      </c>
      <c r="M23" s="104" t="e">
        <f>IF(L23="nd","-",L23/$L$12)</f>
        <v>#DIV/0!</v>
      </c>
      <c r="N23" s="118">
        <v>0</v>
      </c>
      <c r="O23" s="104" t="e">
        <f t="shared" ref="O23:O26" si="9">IF(N23="nd","-",N23/$N$12)</f>
        <v>#DIV/0!</v>
      </c>
    </row>
    <row r="24" spans="1:15" s="80" customFormat="1" ht="14.1" customHeight="1" x14ac:dyDescent="0.25">
      <c r="A24" s="81"/>
      <c r="B24" s="82" t="s">
        <v>40</v>
      </c>
      <c r="C24" s="131">
        <v>0</v>
      </c>
      <c r="D24" s="103" t="e">
        <f>IF(C24="nd","-",C24/$C$12)</f>
        <v>#DIV/0!</v>
      </c>
      <c r="E24" s="104"/>
      <c r="F24" s="118">
        <v>0</v>
      </c>
      <c r="G24" s="104" t="e">
        <f>IF(F24="nd","-",F24/$F$12)</f>
        <v>#DIV/0!</v>
      </c>
      <c r="H24" s="131">
        <v>0</v>
      </c>
      <c r="I24" s="104" t="e">
        <f>IF(H24="nd","-",H24/$H$12)</f>
        <v>#DIV/0!</v>
      </c>
      <c r="J24" s="105">
        <v>0</v>
      </c>
      <c r="K24" s="104" t="e">
        <f>IF(J24="nd","-",J24/$J$12)</f>
        <v>#DIV/0!</v>
      </c>
      <c r="L24" s="131">
        <v>0</v>
      </c>
      <c r="M24" s="104" t="e">
        <f>IF(L24="nd","-",L24/$L$12)</f>
        <v>#DIV/0!</v>
      </c>
      <c r="N24" s="118">
        <v>0</v>
      </c>
      <c r="O24" s="104" t="e">
        <f t="shared" si="9"/>
        <v>#DIV/0!</v>
      </c>
    </row>
    <row r="25" spans="1:15" s="80" customFormat="1" ht="14.1" customHeight="1" x14ac:dyDescent="0.25">
      <c r="A25" s="81"/>
      <c r="B25" s="82" t="s">
        <v>39</v>
      </c>
      <c r="C25" s="131">
        <v>0</v>
      </c>
      <c r="D25" s="103" t="e">
        <f>IF(C25="nd","-",C25/$C$12)</f>
        <v>#DIV/0!</v>
      </c>
      <c r="E25" s="104"/>
      <c r="F25" s="118">
        <v>0</v>
      </c>
      <c r="G25" s="104" t="e">
        <f>IF(F25="nd","-",F25/$F$12)</f>
        <v>#DIV/0!</v>
      </c>
      <c r="H25" s="131">
        <v>0</v>
      </c>
      <c r="I25" s="104" t="e">
        <f>IF(H25="nd","-",H25/$H$12)</f>
        <v>#DIV/0!</v>
      </c>
      <c r="J25" s="105">
        <v>0</v>
      </c>
      <c r="K25" s="104" t="e">
        <f t="shared" ref="K25" si="10">IF(J25="nd","-",J25/$J$12)</f>
        <v>#DIV/0!</v>
      </c>
      <c r="L25" s="131">
        <v>0</v>
      </c>
      <c r="M25" s="104" t="e">
        <f t="shared" ref="M25" si="11">IF(L25="nd","-",L25/$L$12)</f>
        <v>#DIV/0!</v>
      </c>
      <c r="N25" s="118">
        <v>0</v>
      </c>
      <c r="O25" s="104" t="e">
        <f t="shared" ref="O25" si="12">IF(N25="nd","-",N25/$N$12)</f>
        <v>#DIV/0!</v>
      </c>
    </row>
    <row r="26" spans="1:15" s="86" customFormat="1" ht="14.1" customHeight="1" x14ac:dyDescent="0.25">
      <c r="A26" s="87" t="s">
        <v>26</v>
      </c>
      <c r="B26" s="88" t="s">
        <v>28</v>
      </c>
      <c r="C26" s="130">
        <v>0</v>
      </c>
      <c r="D26" s="100" t="e">
        <f>IF(C26="nd","-",C26/$C$12)</f>
        <v>#DIV/0!</v>
      </c>
      <c r="E26" s="101"/>
      <c r="F26" s="117">
        <v>0</v>
      </c>
      <c r="G26" s="101" t="e">
        <f>IF(F26="nd","-",F26/$F$12)</f>
        <v>#DIV/0!</v>
      </c>
      <c r="H26" s="130">
        <v>0</v>
      </c>
      <c r="I26" s="101" t="e">
        <f>IF(H26="nd","-",H26/$H$12)</f>
        <v>#DIV/0!</v>
      </c>
      <c r="J26" s="102">
        <v>0</v>
      </c>
      <c r="K26" s="101" t="e">
        <f>IF(J26="nd","-",J26/$J$12)</f>
        <v>#DIV/0!</v>
      </c>
      <c r="L26" s="130">
        <v>0</v>
      </c>
      <c r="M26" s="101" t="e">
        <f>IF(L26="nd","-",L26/$L$12)</f>
        <v>#DIV/0!</v>
      </c>
      <c r="N26" s="117">
        <v>0</v>
      </c>
      <c r="O26" s="101" t="e">
        <f t="shared" si="9"/>
        <v>#DIV/0!</v>
      </c>
    </row>
    <row r="27" spans="1:15" s="15" customFormat="1" ht="14.1" customHeight="1" x14ac:dyDescent="0.25">
      <c r="A27" s="22" t="s">
        <v>2</v>
      </c>
      <c r="B27" s="26"/>
      <c r="C27" s="132">
        <v>0</v>
      </c>
      <c r="D27" s="94" t="e">
        <f>C27/$C$12</f>
        <v>#DIV/0!</v>
      </c>
      <c r="E27" s="94"/>
      <c r="F27" s="119">
        <v>0</v>
      </c>
      <c r="G27" s="94" t="e">
        <f>F27/$F$12</f>
        <v>#DIV/0!</v>
      </c>
      <c r="H27" s="132">
        <v>0</v>
      </c>
      <c r="I27" s="94" t="e">
        <f t="shared" si="0"/>
        <v>#DIV/0!</v>
      </c>
      <c r="J27" s="95">
        <v>0</v>
      </c>
      <c r="K27" s="94" t="e">
        <f t="shared" si="1"/>
        <v>#DIV/0!</v>
      </c>
      <c r="L27" s="132">
        <v>0</v>
      </c>
      <c r="M27" s="94" t="e">
        <f t="shared" ref="M27:M34" si="13">L27/$L$12</f>
        <v>#DIV/0!</v>
      </c>
      <c r="N27" s="119">
        <v>0</v>
      </c>
      <c r="O27" s="94" t="e">
        <f>N27/$N$12</f>
        <v>#DIV/0!</v>
      </c>
    </row>
    <row r="28" spans="1:15" s="15" customFormat="1" ht="12.75" customHeight="1" x14ac:dyDescent="0.25">
      <c r="A28" s="22" t="s">
        <v>3</v>
      </c>
      <c r="B28" s="26"/>
      <c r="C28" s="133">
        <f>SUM(C29:C31)</f>
        <v>0</v>
      </c>
      <c r="D28" s="94" t="e">
        <f>C28/$C$12</f>
        <v>#DIV/0!</v>
      </c>
      <c r="E28" s="94"/>
      <c r="F28" s="120">
        <f>SUM(F29:F31)</f>
        <v>0</v>
      </c>
      <c r="G28" s="94" t="e">
        <f>F28/$F$12</f>
        <v>#DIV/0!</v>
      </c>
      <c r="H28" s="133">
        <f>SUM(H29:H31)</f>
        <v>0</v>
      </c>
      <c r="I28" s="94" t="e">
        <f t="shared" si="0"/>
        <v>#DIV/0!</v>
      </c>
      <c r="J28" s="106">
        <f>SUM(J29:J31)</f>
        <v>0</v>
      </c>
      <c r="K28" s="94" t="e">
        <f t="shared" si="1"/>
        <v>#DIV/0!</v>
      </c>
      <c r="L28" s="133">
        <f>SUM(L29:L31)</f>
        <v>0</v>
      </c>
      <c r="M28" s="94" t="e">
        <f t="shared" si="13"/>
        <v>#DIV/0!</v>
      </c>
      <c r="N28" s="120">
        <f>SUM(N29:N31)</f>
        <v>0</v>
      </c>
      <c r="O28" s="94" t="e">
        <f>N28/$N$12</f>
        <v>#DIV/0!</v>
      </c>
    </row>
    <row r="29" spans="1:15" s="78" customFormat="1" ht="14.1" customHeight="1" x14ac:dyDescent="0.3">
      <c r="A29" s="79" t="s">
        <v>26</v>
      </c>
      <c r="B29" s="91" t="s">
        <v>7</v>
      </c>
      <c r="C29" s="134">
        <v>0</v>
      </c>
      <c r="D29" s="107" t="e">
        <f>IF(C29="nd","-",C29/$C$12)</f>
        <v>#DIV/0!</v>
      </c>
      <c r="E29" s="107"/>
      <c r="F29" s="121">
        <v>0</v>
      </c>
      <c r="G29" s="107" t="e">
        <f>IF(F29="nd","-",F29/$F$12)</f>
        <v>#DIV/0!</v>
      </c>
      <c r="H29" s="134">
        <v>0</v>
      </c>
      <c r="I29" s="107" t="e">
        <f>IF(H29="nd","-",H29/$H$12)</f>
        <v>#DIV/0!</v>
      </c>
      <c r="J29" s="108">
        <v>0</v>
      </c>
      <c r="K29" s="107" t="e">
        <f>IF(J29="nd","-",J29/$J$12)</f>
        <v>#DIV/0!</v>
      </c>
      <c r="L29" s="134">
        <v>0</v>
      </c>
      <c r="M29" s="107" t="e">
        <f t="shared" ref="M29:M31" si="14">IF(L29="nd","-",L29/$L$12)</f>
        <v>#DIV/0!</v>
      </c>
      <c r="N29" s="121">
        <v>0</v>
      </c>
      <c r="O29" s="107" t="e">
        <f t="shared" ref="O29:O31" si="15">IF(N29="nd","-",N29/$N$12)</f>
        <v>#DIV/0!</v>
      </c>
    </row>
    <row r="30" spans="1:15" s="78" customFormat="1" ht="14.1" customHeight="1" x14ac:dyDescent="0.3">
      <c r="A30" s="79" t="s">
        <v>26</v>
      </c>
      <c r="B30" s="91" t="s">
        <v>8</v>
      </c>
      <c r="C30" s="134">
        <v>0</v>
      </c>
      <c r="D30" s="107" t="e">
        <f>IF(C30="nd","-",C30/$C$12)</f>
        <v>#DIV/0!</v>
      </c>
      <c r="E30" s="107"/>
      <c r="F30" s="121">
        <v>0</v>
      </c>
      <c r="G30" s="107" t="e">
        <f>IF(F30="nd","-",F30/$F$12)</f>
        <v>#DIV/0!</v>
      </c>
      <c r="H30" s="134">
        <v>0</v>
      </c>
      <c r="I30" s="107" t="e">
        <f>IF(H30="nd","-",H30/$H$12)</f>
        <v>#DIV/0!</v>
      </c>
      <c r="J30" s="108">
        <v>0</v>
      </c>
      <c r="K30" s="107" t="e">
        <f t="shared" ref="K30:K31" si="16">IF(J30="nd","-",J30/$J$12)</f>
        <v>#DIV/0!</v>
      </c>
      <c r="L30" s="134">
        <v>0</v>
      </c>
      <c r="M30" s="107" t="e">
        <f t="shared" si="14"/>
        <v>#DIV/0!</v>
      </c>
      <c r="N30" s="121">
        <v>0</v>
      </c>
      <c r="O30" s="107" t="e">
        <f t="shared" si="15"/>
        <v>#DIV/0!</v>
      </c>
    </row>
    <row r="31" spans="1:15" s="78" customFormat="1" ht="14.1" customHeight="1" x14ac:dyDescent="0.3">
      <c r="A31" s="92" t="s">
        <v>26</v>
      </c>
      <c r="B31" s="93" t="s">
        <v>4</v>
      </c>
      <c r="C31" s="134">
        <v>0</v>
      </c>
      <c r="D31" s="107" t="e">
        <f>IF(C31="nd","-",C31/$C$12)</f>
        <v>#DIV/0!</v>
      </c>
      <c r="E31" s="107"/>
      <c r="F31" s="121">
        <v>0</v>
      </c>
      <c r="G31" s="107" t="e">
        <f>IF(F31="nd","-",F31/$F$12)</f>
        <v>#DIV/0!</v>
      </c>
      <c r="H31" s="134">
        <v>0</v>
      </c>
      <c r="I31" s="107" t="e">
        <f>IF(H31="nd","-",H31/$H$12)</f>
        <v>#DIV/0!</v>
      </c>
      <c r="J31" s="108">
        <v>0</v>
      </c>
      <c r="K31" s="107" t="e">
        <f t="shared" si="16"/>
        <v>#DIV/0!</v>
      </c>
      <c r="L31" s="134">
        <v>0</v>
      </c>
      <c r="M31" s="107" t="e">
        <f t="shared" si="14"/>
        <v>#DIV/0!</v>
      </c>
      <c r="N31" s="121">
        <v>0</v>
      </c>
      <c r="O31" s="107" t="e">
        <f t="shared" si="15"/>
        <v>#DIV/0!</v>
      </c>
    </row>
    <row r="32" spans="1:15" s="15" customFormat="1" ht="14.1" customHeight="1" x14ac:dyDescent="0.25">
      <c r="A32" s="22" t="s">
        <v>13</v>
      </c>
      <c r="B32" s="26"/>
      <c r="C32" s="135">
        <v>0</v>
      </c>
      <c r="D32" s="94" t="e">
        <f>C32/$C$12</f>
        <v>#DIV/0!</v>
      </c>
      <c r="E32" s="94"/>
      <c r="F32" s="119">
        <v>0</v>
      </c>
      <c r="G32" s="94" t="e">
        <f>F32/$F$12</f>
        <v>#DIV/0!</v>
      </c>
      <c r="H32" s="132">
        <v>0</v>
      </c>
      <c r="I32" s="94" t="e">
        <f t="shared" ref="I32:I34" si="17">H32/$H$12</f>
        <v>#DIV/0!</v>
      </c>
      <c r="J32" s="95">
        <v>0</v>
      </c>
      <c r="K32" s="94" t="e">
        <f t="shared" ref="K32:K34" si="18">J32/$J$12</f>
        <v>#DIV/0!</v>
      </c>
      <c r="L32" s="132">
        <v>0</v>
      </c>
      <c r="M32" s="94" t="e">
        <f t="shared" si="13"/>
        <v>#DIV/0!</v>
      </c>
      <c r="N32" s="119">
        <v>0</v>
      </c>
      <c r="O32" s="94" t="e">
        <f>N32/$N$12</f>
        <v>#DIV/0!</v>
      </c>
    </row>
    <row r="33" spans="1:15" s="15" customFormat="1" ht="14.1" customHeight="1" x14ac:dyDescent="0.25">
      <c r="A33" s="69" t="s">
        <v>16</v>
      </c>
      <c r="B33" s="96"/>
      <c r="C33" s="135">
        <v>0</v>
      </c>
      <c r="D33" s="94" t="e">
        <f>C33/$C$12</f>
        <v>#DIV/0!</v>
      </c>
      <c r="E33" s="89"/>
      <c r="F33" s="122">
        <v>0</v>
      </c>
      <c r="G33" s="94" t="e">
        <f>F33/$F$12</f>
        <v>#DIV/0!</v>
      </c>
      <c r="H33" s="142">
        <v>0</v>
      </c>
      <c r="I33" s="94" t="e">
        <f t="shared" si="17"/>
        <v>#DIV/0!</v>
      </c>
      <c r="J33" s="90">
        <v>0</v>
      </c>
      <c r="K33" s="94" t="e">
        <f t="shared" si="18"/>
        <v>#DIV/0!</v>
      </c>
      <c r="L33" s="142">
        <v>0</v>
      </c>
      <c r="M33" s="94" t="e">
        <f t="shared" si="13"/>
        <v>#DIV/0!</v>
      </c>
      <c r="N33" s="122">
        <v>0</v>
      </c>
      <c r="O33" s="94" t="e">
        <f>N33/$N$12</f>
        <v>#DIV/0!</v>
      </c>
    </row>
    <row r="34" spans="1:15" s="15" customFormat="1" ht="14.1" customHeight="1" x14ac:dyDescent="0.25">
      <c r="A34" s="25" t="s">
        <v>31</v>
      </c>
      <c r="B34" s="97"/>
      <c r="C34" s="136">
        <v>0</v>
      </c>
      <c r="D34" s="98" t="e">
        <f>C34/$C$12</f>
        <v>#DIV/0!</v>
      </c>
      <c r="E34" s="98"/>
      <c r="F34" s="123">
        <v>0</v>
      </c>
      <c r="G34" s="98" t="e">
        <f>F34/$F$12</f>
        <v>#DIV/0!</v>
      </c>
      <c r="H34" s="143">
        <v>0</v>
      </c>
      <c r="I34" s="98" t="e">
        <f t="shared" si="17"/>
        <v>#DIV/0!</v>
      </c>
      <c r="J34" s="99">
        <v>0</v>
      </c>
      <c r="K34" s="98" t="e">
        <f t="shared" si="18"/>
        <v>#DIV/0!</v>
      </c>
      <c r="L34" s="143">
        <v>0</v>
      </c>
      <c r="M34" s="98" t="e">
        <f t="shared" si="13"/>
        <v>#DIV/0!</v>
      </c>
      <c r="N34" s="123">
        <v>0</v>
      </c>
      <c r="O34" s="98" t="e">
        <f>N34/$N$12</f>
        <v>#DIV/0!</v>
      </c>
    </row>
    <row r="35" spans="1:15" s="144" customFormat="1" ht="14.1" customHeight="1" x14ac:dyDescent="0.25">
      <c r="B35" s="145" t="s">
        <v>18</v>
      </c>
      <c r="C35" s="146">
        <f>C16+C27+C28+C32+C33+C34</f>
        <v>0</v>
      </c>
      <c r="D35" s="150" t="e">
        <f>C35/C12</f>
        <v>#DIV/0!</v>
      </c>
      <c r="E35" s="150"/>
      <c r="F35" s="147">
        <f>F16+F27+F28+F32+F33+F34</f>
        <v>0</v>
      </c>
      <c r="G35" s="150" t="e">
        <f>F35/F12</f>
        <v>#DIV/0!</v>
      </c>
      <c r="H35" s="148">
        <f>H16+H27+H28+H32+H33+H34</f>
        <v>0</v>
      </c>
      <c r="I35" s="150" t="e">
        <f>H35/H12</f>
        <v>#DIV/0!</v>
      </c>
      <c r="J35" s="149">
        <f>J16+J27+J28+J32+J33+J34</f>
        <v>0</v>
      </c>
      <c r="K35" s="150" t="e">
        <f>J35/J12</f>
        <v>#DIV/0!</v>
      </c>
      <c r="L35" s="148">
        <f>L16+L27+L28+L32+L33+L34</f>
        <v>0</v>
      </c>
      <c r="M35" s="150" t="e">
        <f>L35/L12</f>
        <v>#DIV/0!</v>
      </c>
      <c r="N35" s="147">
        <f>N16+N27+N28+N32+N33+N34</f>
        <v>0</v>
      </c>
      <c r="O35" s="150" t="e">
        <f>N35/N12</f>
        <v>#DIV/0!</v>
      </c>
    </row>
    <row r="36" spans="1:15" ht="9" customHeight="1" x14ac:dyDescent="0.3">
      <c r="B36" s="27"/>
      <c r="C36" s="49"/>
      <c r="D36" s="28"/>
      <c r="E36" s="28"/>
    </row>
    <row r="37" spans="1:15" ht="29.25" customHeight="1" x14ac:dyDescent="0.3">
      <c r="A37" s="110" t="s">
        <v>42</v>
      </c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</row>
    <row r="38" spans="1:15" ht="9" customHeight="1" x14ac:dyDescent="0.3">
      <c r="A38" s="13"/>
      <c r="B38" s="13"/>
      <c r="C38" s="50"/>
      <c r="D38" s="13"/>
      <c r="E38" s="13"/>
      <c r="F38" s="50"/>
      <c r="G38" s="13"/>
      <c r="H38" s="50"/>
    </row>
    <row r="39" spans="1:15" ht="6" customHeight="1" x14ac:dyDescent="0.3">
      <c r="A39" s="29"/>
      <c r="B39" s="29"/>
      <c r="C39" s="53"/>
      <c r="D39" s="29"/>
      <c r="E39" s="29"/>
      <c r="F39" s="53"/>
      <c r="G39" s="29"/>
      <c r="H39" s="53"/>
      <c r="I39" s="30"/>
      <c r="J39" s="51"/>
      <c r="K39" s="30"/>
      <c r="L39" s="51"/>
      <c r="M39" s="30"/>
      <c r="N39" s="51"/>
      <c r="O39" s="30"/>
    </row>
    <row r="40" spans="1:15" ht="12.75" customHeight="1" x14ac:dyDescent="0.3">
      <c r="A40" s="71" t="s">
        <v>21</v>
      </c>
      <c r="B40" s="71"/>
      <c r="C40" s="189">
        <f>C12-C35</f>
        <v>0</v>
      </c>
      <c r="D40" s="10" t="e">
        <f>C40/C12</f>
        <v>#DIV/0!</v>
      </c>
      <c r="E40" s="10"/>
      <c r="F40" s="56">
        <f>F12-F35</f>
        <v>0</v>
      </c>
      <c r="G40" s="11" t="e">
        <f>F40/F12</f>
        <v>#DIV/0!</v>
      </c>
      <c r="H40" s="189">
        <f>H12-H35</f>
        <v>0</v>
      </c>
      <c r="I40" s="10" t="e">
        <f>H40/H12</f>
        <v>#DIV/0!</v>
      </c>
      <c r="J40" s="56">
        <f>J12-J35</f>
        <v>0</v>
      </c>
      <c r="K40" s="11" t="e">
        <f>J40/J12</f>
        <v>#DIV/0!</v>
      </c>
      <c r="L40" s="189">
        <f>L12-L35</f>
        <v>0</v>
      </c>
      <c r="M40" s="10" t="e">
        <f>L40/L12</f>
        <v>#DIV/0!</v>
      </c>
      <c r="N40" s="56">
        <f>N12-N35</f>
        <v>0</v>
      </c>
      <c r="O40" s="11" t="e">
        <f>N40/N12</f>
        <v>#DIV/0!</v>
      </c>
    </row>
    <row r="41" spans="1:15" ht="6" customHeight="1" x14ac:dyDescent="0.3">
      <c r="A41" s="31"/>
      <c r="B41" s="31"/>
      <c r="C41" s="54"/>
      <c r="D41" s="32"/>
      <c r="E41" s="32"/>
      <c r="F41" s="54"/>
      <c r="G41" s="32"/>
      <c r="H41" s="58"/>
      <c r="I41" s="24"/>
      <c r="J41" s="52"/>
      <c r="K41" s="24"/>
      <c r="L41" s="52"/>
      <c r="M41" s="24"/>
      <c r="N41" s="52"/>
      <c r="O41" s="24"/>
    </row>
    <row r="42" spans="1:15" ht="9" customHeight="1" x14ac:dyDescent="0.3">
      <c r="A42" s="15"/>
      <c r="B42" s="33"/>
      <c r="C42" s="59"/>
      <c r="D42" s="34"/>
      <c r="E42" s="34"/>
      <c r="F42" s="59"/>
      <c r="G42" s="34"/>
      <c r="H42" s="50"/>
    </row>
    <row r="43" spans="1:15" ht="15" customHeight="1" x14ac:dyDescent="0.3">
      <c r="A43" s="111" t="s">
        <v>23</v>
      </c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</row>
    <row r="44" spans="1:15" ht="6.75" customHeight="1" x14ac:dyDescent="0.3">
      <c r="A44" s="15"/>
      <c r="B44" s="33"/>
      <c r="C44" s="59"/>
      <c r="D44" s="34"/>
      <c r="E44" s="34"/>
      <c r="F44" s="59"/>
      <c r="G44" s="34"/>
      <c r="H44" s="50"/>
    </row>
    <row r="45" spans="1:15" ht="14.1" customHeight="1" x14ac:dyDescent="0.3">
      <c r="A45" s="31" t="s">
        <v>14</v>
      </c>
      <c r="B45" s="36"/>
      <c r="C45" s="62"/>
      <c r="D45" s="32"/>
      <c r="E45" s="32"/>
      <c r="F45" s="72"/>
      <c r="G45" s="73"/>
      <c r="H45" s="73"/>
      <c r="I45" s="24"/>
    </row>
    <row r="46" spans="1:15" ht="14.1" customHeight="1" x14ac:dyDescent="0.3">
      <c r="A46" s="37" t="s">
        <v>10</v>
      </c>
      <c r="C46" s="153">
        <v>0</v>
      </c>
      <c r="D46" s="153"/>
      <c r="E46" s="64"/>
      <c r="F46" s="159">
        <v>0</v>
      </c>
      <c r="G46" s="160"/>
      <c r="H46" s="153">
        <v>0</v>
      </c>
      <c r="I46" s="153"/>
      <c r="J46" s="159">
        <v>0</v>
      </c>
      <c r="K46" s="160"/>
      <c r="L46" s="178">
        <v>0</v>
      </c>
      <c r="M46" s="179"/>
      <c r="N46" s="172">
        <v>0</v>
      </c>
      <c r="O46" s="172"/>
    </row>
    <row r="47" spans="1:15" ht="14.1" customHeight="1" x14ac:dyDescent="0.3">
      <c r="A47" s="37" t="s">
        <v>11</v>
      </c>
      <c r="C47" s="153">
        <v>0</v>
      </c>
      <c r="D47" s="153"/>
      <c r="E47" s="65"/>
      <c r="F47" s="161">
        <v>0</v>
      </c>
      <c r="G47" s="162"/>
      <c r="H47" s="153">
        <v>0</v>
      </c>
      <c r="I47" s="153"/>
      <c r="J47" s="161">
        <v>0</v>
      </c>
      <c r="K47" s="162"/>
      <c r="L47" s="180">
        <v>0</v>
      </c>
      <c r="M47" s="181"/>
      <c r="N47" s="172">
        <v>0</v>
      </c>
      <c r="O47" s="172"/>
    </row>
    <row r="48" spans="1:15" ht="14.1" customHeight="1" x14ac:dyDescent="0.3">
      <c r="A48" s="37" t="s">
        <v>12</v>
      </c>
      <c r="C48" s="153">
        <v>0</v>
      </c>
      <c r="D48" s="153"/>
      <c r="E48" s="65"/>
      <c r="F48" s="161">
        <v>0</v>
      </c>
      <c r="G48" s="162"/>
      <c r="H48" s="153">
        <v>0</v>
      </c>
      <c r="I48" s="153"/>
      <c r="J48" s="161">
        <v>0</v>
      </c>
      <c r="K48" s="162"/>
      <c r="L48" s="180">
        <v>0</v>
      </c>
      <c r="M48" s="181"/>
      <c r="N48" s="172">
        <v>0</v>
      </c>
      <c r="O48" s="172"/>
    </row>
    <row r="49" spans="1:15" ht="14.1" customHeight="1" x14ac:dyDescent="0.3">
      <c r="A49" s="38" t="s">
        <v>25</v>
      </c>
      <c r="C49" s="153">
        <v>0</v>
      </c>
      <c r="D49" s="153"/>
      <c r="E49" s="65"/>
      <c r="F49" s="161">
        <v>0</v>
      </c>
      <c r="G49" s="163"/>
      <c r="H49" s="153">
        <v>0</v>
      </c>
      <c r="I49" s="153"/>
      <c r="J49" s="161">
        <v>0</v>
      </c>
      <c r="K49" s="163"/>
      <c r="L49" s="180">
        <v>0</v>
      </c>
      <c r="M49" s="182"/>
      <c r="N49" s="172">
        <v>0</v>
      </c>
      <c r="O49" s="172"/>
    </row>
    <row r="50" spans="1:15" ht="14.1" customHeight="1" x14ac:dyDescent="0.3">
      <c r="A50" s="37" t="s">
        <v>24</v>
      </c>
      <c r="C50" s="153">
        <v>0</v>
      </c>
      <c r="D50" s="153"/>
      <c r="E50" s="65"/>
      <c r="F50" s="161">
        <v>0</v>
      </c>
      <c r="G50" s="162"/>
      <c r="H50" s="153">
        <v>0</v>
      </c>
      <c r="I50" s="153"/>
      <c r="J50" s="161">
        <v>0</v>
      </c>
      <c r="K50" s="162"/>
      <c r="L50" s="180">
        <v>0</v>
      </c>
      <c r="M50" s="181"/>
      <c r="N50" s="172">
        <v>0</v>
      </c>
      <c r="O50" s="172"/>
    </row>
    <row r="51" spans="1:15" ht="14.1" customHeight="1" x14ac:dyDescent="0.3">
      <c r="A51" s="39" t="s">
        <v>9</v>
      </c>
      <c r="B51" s="24"/>
      <c r="C51" s="154">
        <v>0</v>
      </c>
      <c r="D51" s="154"/>
      <c r="E51" s="66"/>
      <c r="F51" s="164">
        <v>0</v>
      </c>
      <c r="G51" s="165"/>
      <c r="H51" s="154">
        <v>0</v>
      </c>
      <c r="I51" s="154"/>
      <c r="J51" s="164">
        <v>0</v>
      </c>
      <c r="K51" s="165"/>
      <c r="L51" s="183">
        <v>0</v>
      </c>
      <c r="M51" s="184"/>
      <c r="N51" s="173">
        <v>0</v>
      </c>
      <c r="O51" s="173"/>
    </row>
    <row r="52" spans="1:15" ht="14.1" customHeight="1" x14ac:dyDescent="0.3">
      <c r="A52" s="76" t="s">
        <v>19</v>
      </c>
      <c r="B52" s="77"/>
      <c r="C52" s="155">
        <f>SUM(C46:C51)</f>
        <v>0</v>
      </c>
      <c r="D52" s="156" t="e">
        <f>C52/C12</f>
        <v>#DIV/0!</v>
      </c>
      <c r="E52" s="12"/>
      <c r="F52" s="166">
        <f>SUM(F46:F51)</f>
        <v>0</v>
      </c>
      <c r="G52" s="167" t="e">
        <f>F52/F12</f>
        <v>#DIV/0!</v>
      </c>
      <c r="H52" s="155">
        <f>SUM(H46:I51)</f>
        <v>0</v>
      </c>
      <c r="I52" s="156" t="e">
        <f>H52/H12</f>
        <v>#DIV/0!</v>
      </c>
      <c r="J52" s="170">
        <f>SUM(J46:K51)</f>
        <v>0</v>
      </c>
      <c r="K52" s="171" t="e">
        <f>J52/J12</f>
        <v>#DIV/0!</v>
      </c>
      <c r="L52" s="185">
        <f>SUM(L46:M51)</f>
        <v>0</v>
      </c>
      <c r="M52" s="186" t="e">
        <f>L52/L12</f>
        <v>#DIV/0!</v>
      </c>
      <c r="N52" s="174">
        <f>SUM(N46:O51)</f>
        <v>0</v>
      </c>
      <c r="O52" s="175" t="e">
        <f>N52/N12</f>
        <v>#DIV/0!</v>
      </c>
    </row>
    <row r="53" spans="1:15" ht="9" customHeight="1" x14ac:dyDescent="0.3">
      <c r="A53" s="15"/>
      <c r="B53" s="33"/>
      <c r="C53" s="59"/>
      <c r="D53" s="34"/>
      <c r="E53" s="34"/>
      <c r="F53" s="59"/>
      <c r="G53" s="34"/>
      <c r="H53" s="59"/>
      <c r="I53" s="34"/>
      <c r="L53" s="50"/>
      <c r="M53" s="35"/>
      <c r="N53" s="59"/>
      <c r="O53" s="34"/>
    </row>
    <row r="54" spans="1:15" ht="6" customHeight="1" x14ac:dyDescent="0.3">
      <c r="A54" s="40"/>
      <c r="B54" s="41"/>
      <c r="C54" s="60"/>
      <c r="D54" s="42"/>
      <c r="E54" s="42"/>
      <c r="F54" s="60"/>
      <c r="G54" s="42"/>
      <c r="H54" s="60"/>
      <c r="I54" s="42"/>
      <c r="J54" s="51"/>
      <c r="K54" s="30"/>
      <c r="L54" s="53"/>
      <c r="M54" s="43"/>
      <c r="N54" s="60"/>
      <c r="O54" s="42"/>
    </row>
    <row r="55" spans="1:15" ht="13.5" customHeight="1" x14ac:dyDescent="0.3">
      <c r="A55" s="44" t="s">
        <v>20</v>
      </c>
      <c r="B55" s="45"/>
      <c r="C55" s="157" t="e">
        <f>C40/C52</f>
        <v>#DIV/0!</v>
      </c>
      <c r="D55" s="158"/>
      <c r="E55" s="46"/>
      <c r="F55" s="168" t="e">
        <f>F40/F52</f>
        <v>#DIV/0!</v>
      </c>
      <c r="G55" s="169"/>
      <c r="H55" s="157" t="e">
        <f>H40/H52</f>
        <v>#DIV/0!</v>
      </c>
      <c r="I55" s="158"/>
      <c r="J55" s="74" t="e">
        <f>J40/J52</f>
        <v>#DIV/0!</v>
      </c>
      <c r="K55" s="75"/>
      <c r="L55" s="187" t="e">
        <f>L40/L52</f>
        <v>#DIV/0!</v>
      </c>
      <c r="M55" s="188"/>
      <c r="N55" s="176" t="e">
        <f>N40/N52</f>
        <v>#DIV/0!</v>
      </c>
      <c r="O55" s="177"/>
    </row>
    <row r="56" spans="1:15" ht="6" customHeight="1" x14ac:dyDescent="0.3">
      <c r="A56" s="39"/>
      <c r="B56" s="47"/>
      <c r="C56" s="63"/>
      <c r="D56" s="24"/>
      <c r="E56" s="24"/>
      <c r="F56" s="62"/>
      <c r="G56" s="32"/>
      <c r="H56" s="154"/>
      <c r="I56" s="154"/>
      <c r="J56" s="52"/>
      <c r="K56" s="24"/>
      <c r="L56" s="52"/>
      <c r="M56" s="24"/>
      <c r="N56" s="52"/>
      <c r="O56" s="24"/>
    </row>
    <row r="57" spans="1:15" ht="9" customHeight="1" x14ac:dyDescent="0.3">
      <c r="A57" s="37"/>
      <c r="B57" s="45"/>
      <c r="C57" s="61"/>
      <c r="F57" s="59"/>
      <c r="G57" s="34"/>
      <c r="H57" s="55"/>
    </row>
  </sheetData>
  <mergeCells count="37">
    <mergeCell ref="A1:O1"/>
    <mergeCell ref="A14:O14"/>
    <mergeCell ref="A5:O5"/>
    <mergeCell ref="A37:O37"/>
    <mergeCell ref="A43:O43"/>
    <mergeCell ref="N3:O3"/>
    <mergeCell ref="J50:K50"/>
    <mergeCell ref="L50:M50"/>
    <mergeCell ref="F55:G55"/>
    <mergeCell ref="J55:K55"/>
    <mergeCell ref="L55:M55"/>
    <mergeCell ref="F51:G51"/>
    <mergeCell ref="J51:K51"/>
    <mergeCell ref="L51:M51"/>
    <mergeCell ref="A52:B52"/>
    <mergeCell ref="F49:G49"/>
    <mergeCell ref="J49:K49"/>
    <mergeCell ref="L49:M49"/>
    <mergeCell ref="F50:G50"/>
    <mergeCell ref="F47:G47"/>
    <mergeCell ref="J47:K47"/>
    <mergeCell ref="L47:M47"/>
    <mergeCell ref="F48:G48"/>
    <mergeCell ref="J48:K48"/>
    <mergeCell ref="L48:M48"/>
    <mergeCell ref="F45:H45"/>
    <mergeCell ref="F46:G46"/>
    <mergeCell ref="J46:K46"/>
    <mergeCell ref="L46:M46"/>
    <mergeCell ref="A40:B40"/>
    <mergeCell ref="A33:B33"/>
    <mergeCell ref="A10:B10"/>
    <mergeCell ref="H3:I3"/>
    <mergeCell ref="J3:K3"/>
    <mergeCell ref="L3:M3"/>
    <mergeCell ref="C3:D3"/>
    <mergeCell ref="F3:G3"/>
  </mergeCells>
  <conditionalFormatting sqref="C55 E55:H55">
    <cfRule type="cellIs" dxfId="5" priority="7" operator="lessThan">
      <formula>1.1</formula>
    </cfRule>
  </conditionalFormatting>
  <conditionalFormatting sqref="J55">
    <cfRule type="cellIs" dxfId="4" priority="6" operator="lessThan">
      <formula>1.1</formula>
    </cfRule>
  </conditionalFormatting>
  <conditionalFormatting sqref="L55:M55">
    <cfRule type="cellIs" dxfId="3" priority="4" operator="lessThan">
      <formula>1.1</formula>
    </cfRule>
  </conditionalFormatting>
  <conditionalFormatting sqref="N55">
    <cfRule type="cellIs" dxfId="0" priority="1" operator="lessThan">
      <formula>1.1</formula>
    </cfRule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4f1eeb1-1da9-497a-b6e2-39e0379f60e4}" enabled="1" method="Standard" siteId="{bc77cbb2-dc6d-456e-8899-c2201a88f3a7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Studio</vt:lpstr>
    </vt:vector>
  </TitlesOfParts>
  <Company>Phoenix I.B.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Oscar Corsini</cp:lastModifiedBy>
  <cp:lastPrinted>2025-08-07T11:42:46Z</cp:lastPrinted>
  <dcterms:created xsi:type="dcterms:W3CDTF">2013-04-11T12:51:34Z</dcterms:created>
  <dcterms:modified xsi:type="dcterms:W3CDTF">2026-07-05T18:42:39Z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4f1eeb1-1da9-497a-b6e2-39e0379f60e4_Enabled">
    <vt:lpwstr>true</vt:lpwstr>
  </property>
  <property fmtid="{D5CDD505-2E9C-101B-9397-08002B2CF9AE}" pid="3" name="MSIP_Label_d4f1eeb1-1da9-497a-b6e2-39e0379f60e4_SetDate">
    <vt:lpwstr>2024-01-10T16:13:15Z</vt:lpwstr>
  </property>
  <property fmtid="{D5CDD505-2E9C-101B-9397-08002B2CF9AE}" pid="4" name="MSIP_Label_d4f1eeb1-1da9-497a-b6e2-39e0379f60e4_Method">
    <vt:lpwstr>Standard</vt:lpwstr>
  </property>
  <property fmtid="{D5CDD505-2E9C-101B-9397-08002B2CF9AE}" pid="5" name="MSIP_Label_d4f1eeb1-1da9-497a-b6e2-39e0379f60e4_Name">
    <vt:lpwstr>Interno - Classificazione</vt:lpwstr>
  </property>
  <property fmtid="{D5CDD505-2E9C-101B-9397-08002B2CF9AE}" pid="6" name="MSIP_Label_d4f1eeb1-1da9-497a-b6e2-39e0379f60e4_SiteId">
    <vt:lpwstr>bc77cbb2-dc6d-456e-8899-c2201a88f3a7</vt:lpwstr>
  </property>
  <property fmtid="{D5CDD505-2E9C-101B-9397-08002B2CF9AE}" pid="7" name="MSIP_Label_d4f1eeb1-1da9-497a-b6e2-39e0379f60e4_ActionId">
    <vt:lpwstr>53ed4415-7306-4eb8-87bf-69b19d166729</vt:lpwstr>
  </property>
  <property fmtid="{D5CDD505-2E9C-101B-9397-08002B2CF9AE}" pid="8" name="MSIP_Label_d4f1eeb1-1da9-497a-b6e2-39e0379f60e4_ContentBits">
    <vt:lpwstr>1</vt:lpwstr>
  </property>
</Properties>
</file>
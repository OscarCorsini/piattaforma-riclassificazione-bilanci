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glia Corsini\Desktop\Oscar\Divisione Agritech\Bilancio aziende agricole\"/>
    </mc:Choice>
  </mc:AlternateContent>
  <xr:revisionPtr revIDLastSave="0" documentId="13_ncr:1_{AF1A5027-F40B-4CCF-90AC-939528159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io" sheetId="1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0" i="11" l="1"/>
  <c r="V39" i="11"/>
  <c r="V38" i="11"/>
  <c r="V37" i="11"/>
  <c r="V36" i="11"/>
  <c r="V35" i="11"/>
  <c r="V34" i="11"/>
  <c r="V33" i="11"/>
  <c r="V32" i="11"/>
  <c r="V31" i="11"/>
  <c r="V30" i="11"/>
  <c r="V29" i="11"/>
  <c r="V28" i="11"/>
  <c r="V23" i="11"/>
  <c r="V22" i="11"/>
  <c r="V21" i="11"/>
  <c r="V20" i="11"/>
  <c r="V19" i="11"/>
  <c r="V18" i="11"/>
  <c r="U124" i="11"/>
  <c r="U58" i="11"/>
  <c r="V58" i="11" s="1"/>
  <c r="W40" i="11"/>
  <c r="W39" i="11"/>
  <c r="W38" i="11"/>
  <c r="W37" i="11"/>
  <c r="W36" i="11"/>
  <c r="W35" i="11"/>
  <c r="U34" i="11"/>
  <c r="U68" i="11" s="1"/>
  <c r="W33" i="11"/>
  <c r="W32" i="11"/>
  <c r="W31" i="11"/>
  <c r="W30" i="11"/>
  <c r="W29" i="11"/>
  <c r="U28" i="11"/>
  <c r="U41" i="11" s="1"/>
  <c r="U24" i="11"/>
  <c r="W23" i="11"/>
  <c r="W22" i="11"/>
  <c r="W21" i="11"/>
  <c r="W20" i="11"/>
  <c r="W19" i="11"/>
  <c r="W18" i="11"/>
  <c r="C87" i="11"/>
  <c r="T37" i="11"/>
  <c r="T36" i="11"/>
  <c r="T35" i="11"/>
  <c r="T33" i="11"/>
  <c r="T32" i="11"/>
  <c r="T31" i="11"/>
  <c r="T30" i="11"/>
  <c r="T29" i="11"/>
  <c r="Q37" i="11"/>
  <c r="Q36" i="11"/>
  <c r="Q35" i="11"/>
  <c r="Q33" i="11"/>
  <c r="Q32" i="11"/>
  <c r="Q31" i="11"/>
  <c r="Q30" i="11"/>
  <c r="Q29" i="11"/>
  <c r="N37" i="11"/>
  <c r="N36" i="11"/>
  <c r="N35" i="11"/>
  <c r="N32" i="11"/>
  <c r="N31" i="11"/>
  <c r="N30" i="11"/>
  <c r="N29" i="11"/>
  <c r="K37" i="11"/>
  <c r="K36" i="11"/>
  <c r="K35" i="11"/>
  <c r="K32" i="11"/>
  <c r="K31" i="11"/>
  <c r="K30" i="11"/>
  <c r="K29" i="11"/>
  <c r="D58" i="11"/>
  <c r="T40" i="11"/>
  <c r="T39" i="11"/>
  <c r="T38" i="11"/>
  <c r="O28" i="11"/>
  <c r="R28" i="11"/>
  <c r="W28" i="11" s="1"/>
  <c r="T23" i="11"/>
  <c r="T22" i="11"/>
  <c r="T21" i="11"/>
  <c r="T20" i="11"/>
  <c r="T19" i="11"/>
  <c r="T18" i="11"/>
  <c r="Q40" i="11"/>
  <c r="Q39" i="11"/>
  <c r="Q38" i="11"/>
  <c r="Q23" i="11"/>
  <c r="Q22" i="11"/>
  <c r="Q21" i="11"/>
  <c r="Q20" i="11"/>
  <c r="Q19" i="11"/>
  <c r="Q18" i="11"/>
  <c r="N40" i="11"/>
  <c r="N39" i="11"/>
  <c r="N38" i="11"/>
  <c r="N33" i="11"/>
  <c r="N23" i="11"/>
  <c r="N22" i="11"/>
  <c r="N21" i="11"/>
  <c r="N20" i="11"/>
  <c r="N19" i="11"/>
  <c r="N18" i="11"/>
  <c r="K18" i="11"/>
  <c r="K40" i="11"/>
  <c r="K39" i="11"/>
  <c r="K38" i="11"/>
  <c r="K33" i="11"/>
  <c r="K23" i="11"/>
  <c r="K22" i="11"/>
  <c r="K21" i="11"/>
  <c r="K19" i="11"/>
  <c r="K20" i="11"/>
  <c r="G95" i="11"/>
  <c r="G94" i="11"/>
  <c r="C88" i="11"/>
  <c r="C82" i="11"/>
  <c r="D77" i="11"/>
  <c r="D66" i="11"/>
  <c r="D92" i="11" s="1"/>
  <c r="U69" i="11" l="1"/>
  <c r="V41" i="11"/>
  <c r="W68" i="11"/>
  <c r="U67" i="11"/>
  <c r="U46" i="11"/>
  <c r="U71" i="11"/>
  <c r="T28" i="11"/>
  <c r="R124" i="11"/>
  <c r="F15" i="11" s="1"/>
  <c r="R58" i="11"/>
  <c r="O58" i="11"/>
  <c r="L58" i="11"/>
  <c r="H58" i="11"/>
  <c r="R34" i="11"/>
  <c r="W34" i="11" s="1"/>
  <c r="O34" i="11"/>
  <c r="T34" i="11" s="1"/>
  <c r="L34" i="11"/>
  <c r="Q34" i="11" s="1"/>
  <c r="H34" i="11"/>
  <c r="N34" i="11" s="1"/>
  <c r="D34" i="11"/>
  <c r="L28" i="11"/>
  <c r="Q28" i="11" s="1"/>
  <c r="H28" i="11"/>
  <c r="N28" i="11" s="1"/>
  <c r="D28" i="11"/>
  <c r="R24" i="11"/>
  <c r="O24" i="11"/>
  <c r="L24" i="11"/>
  <c r="Q24" i="11" s="1"/>
  <c r="H24" i="11"/>
  <c r="D24" i="11"/>
  <c r="AI23" i="11"/>
  <c r="AG23" i="11"/>
  <c r="AE23" i="11"/>
  <c r="AC23" i="11"/>
  <c r="AA23" i="11"/>
  <c r="AA19" i="11"/>
  <c r="H17" i="11"/>
  <c r="L17" i="11" s="1"/>
  <c r="U61" i="11" l="1"/>
  <c r="V46" i="11"/>
  <c r="U82" i="11"/>
  <c r="V24" i="11"/>
  <c r="W24" i="11"/>
  <c r="U73" i="11"/>
  <c r="U88" i="11" s="1"/>
  <c r="K24" i="11"/>
  <c r="F35" i="11"/>
  <c r="N24" i="11"/>
  <c r="J58" i="11"/>
  <c r="K34" i="11"/>
  <c r="K28" i="11"/>
  <c r="P30" i="11"/>
  <c r="T24" i="11"/>
  <c r="D68" i="11"/>
  <c r="H68" i="11"/>
  <c r="P36" i="11"/>
  <c r="S29" i="11"/>
  <c r="O68" i="11"/>
  <c r="P29" i="11"/>
  <c r="R68" i="11"/>
  <c r="P32" i="11"/>
  <c r="P37" i="11"/>
  <c r="P31" i="11"/>
  <c r="P35" i="11"/>
  <c r="M37" i="11"/>
  <c r="M29" i="11"/>
  <c r="S37" i="11"/>
  <c r="S32" i="11"/>
  <c r="S35" i="11"/>
  <c r="S30" i="11"/>
  <c r="S31" i="11"/>
  <c r="S36" i="11"/>
  <c r="S40" i="11"/>
  <c r="P39" i="11"/>
  <c r="M32" i="11"/>
  <c r="M36" i="11"/>
  <c r="M31" i="11"/>
  <c r="M35" i="11"/>
  <c r="M30" i="11"/>
  <c r="M21" i="11"/>
  <c r="L68" i="11"/>
  <c r="M38" i="11"/>
  <c r="J32" i="11"/>
  <c r="J30" i="11"/>
  <c r="J31" i="11"/>
  <c r="J35" i="11"/>
  <c r="J36" i="11"/>
  <c r="J37" i="11"/>
  <c r="J39" i="11"/>
  <c r="F31" i="11"/>
  <c r="F36" i="11"/>
  <c r="F32" i="11"/>
  <c r="F37" i="11"/>
  <c r="F30" i="11"/>
  <c r="F40" i="11"/>
  <c r="M18" i="11"/>
  <c r="P28" i="11"/>
  <c r="S18" i="11"/>
  <c r="S22" i="11"/>
  <c r="M20" i="11"/>
  <c r="M23" i="11"/>
  <c r="M28" i="11"/>
  <c r="J20" i="11"/>
  <c r="P18" i="11"/>
  <c r="J21" i="11"/>
  <c r="J23" i="11"/>
  <c r="J28" i="11"/>
  <c r="S28" i="11"/>
  <c r="S19" i="11"/>
  <c r="F21" i="11"/>
  <c r="M58" i="11"/>
  <c r="M22" i="11"/>
  <c r="S23" i="11"/>
  <c r="S34" i="11"/>
  <c r="S39" i="11"/>
  <c r="M19" i="11"/>
  <c r="S20" i="11"/>
  <c r="S21" i="11"/>
  <c r="I15" i="11"/>
  <c r="I17" i="11" s="1"/>
  <c r="H13" i="11" s="1"/>
  <c r="L15" i="11" s="1"/>
  <c r="M17" i="11" s="1"/>
  <c r="L13" i="11" s="1"/>
  <c r="L77" i="11" s="1"/>
  <c r="F28" i="11"/>
  <c r="J29" i="11"/>
  <c r="J34" i="11"/>
  <c r="J40" i="11"/>
  <c r="J18" i="11"/>
  <c r="F19" i="11"/>
  <c r="P20" i="11"/>
  <c r="F22" i="11"/>
  <c r="P23" i="11"/>
  <c r="J33" i="11"/>
  <c r="M34" i="11"/>
  <c r="F39" i="11"/>
  <c r="P40" i="11"/>
  <c r="P58" i="11"/>
  <c r="F18" i="11"/>
  <c r="P19" i="11"/>
  <c r="P22" i="11"/>
  <c r="P38" i="11"/>
  <c r="J19" i="11"/>
  <c r="F20" i="11"/>
  <c r="P21" i="11"/>
  <c r="J22" i="11"/>
  <c r="F23" i="11"/>
  <c r="P33" i="11"/>
  <c r="P34" i="11"/>
  <c r="M39" i="11"/>
  <c r="F58" i="11"/>
  <c r="S58" i="11"/>
  <c r="F34" i="11"/>
  <c r="J38" i="11"/>
  <c r="O17" i="11"/>
  <c r="D41" i="11"/>
  <c r="L41" i="11"/>
  <c r="R41" i="11"/>
  <c r="W41" i="11" s="1"/>
  <c r="M33" i="11"/>
  <c r="F38" i="11"/>
  <c r="S38" i="11"/>
  <c r="M40" i="11"/>
  <c r="H41" i="11"/>
  <c r="N41" i="11" s="1"/>
  <c r="O41" i="11"/>
  <c r="F29" i="11"/>
  <c r="F33" i="11"/>
  <c r="S33" i="11"/>
  <c r="V88" i="11" l="1"/>
  <c r="U87" i="11" s="1"/>
  <c r="V87" i="11"/>
  <c r="V82" i="11"/>
  <c r="U81" i="11" s="1"/>
  <c r="V81" i="11"/>
  <c r="Q41" i="11"/>
  <c r="T41" i="11"/>
  <c r="E69" i="11"/>
  <c r="D67" i="11" s="1"/>
  <c r="D71" i="11" s="1"/>
  <c r="K41" i="11"/>
  <c r="H66" i="11"/>
  <c r="E92" i="11" s="1"/>
  <c r="H77" i="11"/>
  <c r="AE19" i="11"/>
  <c r="L66" i="11"/>
  <c r="F92" i="11" s="1"/>
  <c r="AC19" i="11"/>
  <c r="H69" i="11"/>
  <c r="H67" i="11" s="1"/>
  <c r="H71" i="11" s="1"/>
  <c r="L69" i="11"/>
  <c r="L67" i="11" s="1"/>
  <c r="L71" i="11" s="1"/>
  <c r="O69" i="11"/>
  <c r="O67" i="11" s="1"/>
  <c r="O71" i="11" s="1"/>
  <c r="R69" i="11"/>
  <c r="R67" i="11" s="1"/>
  <c r="R71" i="11" s="1"/>
  <c r="S24" i="11"/>
  <c r="P24" i="11"/>
  <c r="M24" i="11"/>
  <c r="J24" i="11"/>
  <c r="F24" i="11"/>
  <c r="P41" i="11"/>
  <c r="O46" i="11"/>
  <c r="L46" i="11"/>
  <c r="G93" i="11" s="1"/>
  <c r="M41" i="11"/>
  <c r="J41" i="11"/>
  <c r="H46" i="11"/>
  <c r="D46" i="11"/>
  <c r="F41" i="11"/>
  <c r="R46" i="11"/>
  <c r="S41" i="11"/>
  <c r="R17" i="11"/>
  <c r="U17" i="11" s="1"/>
  <c r="O15" i="11"/>
  <c r="P17" i="11" s="1"/>
  <c r="O13" i="11" s="1"/>
  <c r="O77" i="11" s="1"/>
  <c r="U15" i="11" l="1"/>
  <c r="V17" i="11" s="1"/>
  <c r="U13" i="11" s="1"/>
  <c r="J68" i="11"/>
  <c r="AG19" i="11"/>
  <c r="O66" i="11"/>
  <c r="H92" i="11" s="1"/>
  <c r="N68" i="11"/>
  <c r="Q68" i="11"/>
  <c r="R73" i="11"/>
  <c r="R82" i="11" s="1"/>
  <c r="S81" i="11" s="1"/>
  <c r="I98" i="11" s="1"/>
  <c r="D73" i="11"/>
  <c r="D88" i="11" s="1"/>
  <c r="L73" i="11"/>
  <c r="L88" i="11" s="1"/>
  <c r="M87" i="11" s="1"/>
  <c r="F99" i="11" s="1"/>
  <c r="H73" i="11"/>
  <c r="H82" i="11" s="1"/>
  <c r="I81" i="11" s="1"/>
  <c r="E98" i="11" s="1"/>
  <c r="O73" i="11"/>
  <c r="T68" i="11"/>
  <c r="H61" i="11"/>
  <c r="E97" i="11" s="1"/>
  <c r="J46" i="11"/>
  <c r="E93" i="11" s="1"/>
  <c r="O61" i="11"/>
  <c r="H97" i="11" s="1"/>
  <c r="P46" i="11"/>
  <c r="H93" i="11" s="1"/>
  <c r="S46" i="11"/>
  <c r="I93" i="11" s="1"/>
  <c r="R61" i="11"/>
  <c r="I97" i="11" s="1"/>
  <c r="R15" i="11"/>
  <c r="S17" i="11" s="1"/>
  <c r="R13" i="11" s="1"/>
  <c r="R77" i="11" s="1"/>
  <c r="F46" i="11"/>
  <c r="D93" i="11" s="1"/>
  <c r="D61" i="11"/>
  <c r="D97" i="11" s="1"/>
  <c r="M46" i="11"/>
  <c r="F93" i="11" s="1"/>
  <c r="L61" i="11"/>
  <c r="F97" i="11" s="1"/>
  <c r="U66" i="11" l="1"/>
  <c r="U77" i="11"/>
  <c r="E88" i="11"/>
  <c r="D87" i="11" s="1"/>
  <c r="D95" i="11" s="1"/>
  <c r="E87" i="11"/>
  <c r="D99" i="11" s="1"/>
  <c r="D82" i="11"/>
  <c r="E81" i="11" s="1"/>
  <c r="D98" i="11" s="1"/>
  <c r="AI19" i="11"/>
  <c r="R66" i="11"/>
  <c r="I92" i="11" s="1"/>
  <c r="H88" i="11"/>
  <c r="R88" i="11"/>
  <c r="O88" i="11"/>
  <c r="O82" i="11"/>
  <c r="L82" i="11"/>
  <c r="S82" i="11"/>
  <c r="R81" i="11" s="1"/>
  <c r="I94" i="11" s="1"/>
  <c r="I82" i="11"/>
  <c r="H81" i="11" s="1"/>
  <c r="E94" i="11" s="1"/>
  <c r="M88" i="11"/>
  <c r="L87" i="11" s="1"/>
  <c r="F95" i="11" s="1"/>
  <c r="P88" i="11" l="1"/>
  <c r="O87" i="11" s="1"/>
  <c r="H95" i="11" s="1"/>
  <c r="P87" i="11"/>
  <c r="H99" i="11" s="1"/>
  <c r="S88" i="11"/>
  <c r="R87" i="11" s="1"/>
  <c r="I95" i="11" s="1"/>
  <c r="S87" i="11"/>
  <c r="I99" i="11" s="1"/>
  <c r="I88" i="11"/>
  <c r="H87" i="11" s="1"/>
  <c r="E95" i="11" s="1"/>
  <c r="I87" i="11"/>
  <c r="E99" i="11" s="1"/>
  <c r="E82" i="11"/>
  <c r="D81" i="11" s="1"/>
  <c r="D94" i="11" s="1"/>
  <c r="M82" i="11"/>
  <c r="L81" i="11" s="1"/>
  <c r="F94" i="11" s="1"/>
  <c r="M81" i="11"/>
  <c r="F98" i="11" s="1"/>
  <c r="P82" i="11"/>
  <c r="O81" i="11" s="1"/>
  <c r="H94" i="11" s="1"/>
  <c r="P81" i="11"/>
  <c r="H98" i="11" s="1"/>
</calcChain>
</file>

<file path=xl/sharedStrings.xml><?xml version="1.0" encoding="utf-8"?>
<sst xmlns="http://schemas.openxmlformats.org/spreadsheetml/2006/main" count="109" uniqueCount="78">
  <si>
    <t>Corrispettivi normali</t>
  </si>
  <si>
    <t>Altro</t>
  </si>
  <si>
    <t>Affitti</t>
  </si>
  <si>
    <t>Personale</t>
  </si>
  <si>
    <t>Contributi prev.</t>
  </si>
  <si>
    <t>INTESTAZIONE:</t>
  </si>
  <si>
    <t>FILIALE:</t>
  </si>
  <si>
    <t>SETTORE:</t>
  </si>
  <si>
    <t>E   N   T   R   A   T   E</t>
  </si>
  <si>
    <t>U   S   C   I   T   E</t>
  </si>
  <si>
    <t>Salari lordi dip.</t>
  </si>
  <si>
    <t>Prelievi titolare</t>
  </si>
  <si>
    <t>I passivi altri fidi</t>
  </si>
  <si>
    <t>Ufficio Analisi</t>
  </si>
  <si>
    <t>Rate mutui ipot.</t>
  </si>
  <si>
    <t>Rate mutui chir.</t>
  </si>
  <si>
    <t>Rimborso fidi a BT</t>
  </si>
  <si>
    <t>Assicurazioni</t>
  </si>
  <si>
    <t>Onere bancario:</t>
  </si>
  <si>
    <t>CAG</t>
  </si>
  <si>
    <t>S  T  I  M  A     d e l     M  A  R  G  I  N  E     E  C  O  N  O  M  I  C  O</t>
  </si>
  <si>
    <t xml:space="preserve">d e l l ' A Z I E N D A   A G R I C O L A </t>
  </si>
  <si>
    <t>Brescia, li</t>
  </si>
  <si>
    <t>Gestione fiscale</t>
  </si>
  <si>
    <t>Taglie acqua irrigua</t>
  </si>
  <si>
    <t>Totale entrate</t>
  </si>
  <si>
    <t>Totale uscite</t>
  </si>
  <si>
    <t>Totale onere bancario:</t>
  </si>
  <si>
    <t>D.S.C.R. stimato =</t>
  </si>
  <si>
    <t>M.O.L stimato</t>
  </si>
  <si>
    <t>Periodo</t>
  </si>
  <si>
    <t>(€ .000)</t>
  </si>
  <si>
    <t>%</t>
  </si>
  <si>
    <t>S T I M A   D E L L A   S O S T E N I B I L I T A'   D E L   D E B I T O</t>
  </si>
  <si>
    <t>Linee a revoca (20%)</t>
  </si>
  <si>
    <t>Finanziamento nuovo</t>
  </si>
  <si>
    <t>Note</t>
  </si>
  <si>
    <t>GESTIONE FISCALE</t>
  </si>
  <si>
    <t>Netto gestione</t>
  </si>
  <si>
    <t>Iva vendite (VE26)</t>
  </si>
  <si>
    <t>M A R G I N E   O P E R A T I V O   L O R D O   S T I M A T O
e sostenibilità del debito bancario</t>
  </si>
  <si>
    <t>di cui</t>
  </si>
  <si>
    <t>materie prime e merci</t>
  </si>
  <si>
    <t>servizi</t>
  </si>
  <si>
    <t>leasing</t>
  </si>
  <si>
    <t>PAC e contributi pubblici</t>
  </si>
  <si>
    <t>Attività connessa</t>
  </si>
  <si>
    <t>Imposta dovuta (VL3)</t>
  </si>
  <si>
    <t>Iva acquisti (VF27)</t>
  </si>
  <si>
    <t>Variazione rimanenze</t>
  </si>
  <si>
    <t>altri acquisti</t>
  </si>
  <si>
    <t>Oneri diversi di gestione</t>
  </si>
  <si>
    <t>I N D I C I   &amp;   G R A F I C I</t>
  </si>
  <si>
    <t>ENTRATE di pareggio</t>
  </si>
  <si>
    <t>CF</t>
  </si>
  <si>
    <t>CV</t>
  </si>
  <si>
    <t>cf/((ricavi-cv)/ricavi)</t>
  </si>
  <si>
    <t>Margine di sicurezza</t>
  </si>
  <si>
    <t>Grado di leva operativa</t>
  </si>
  <si>
    <t xml:space="preserve">D  A  T  I     A  N  A  G  R  A  F  I  C  I </t>
  </si>
  <si>
    <t>+</t>
  </si>
  <si>
    <t>-</t>
  </si>
  <si>
    <t>SCENARIO BEST</t>
  </si>
  <si>
    <t>Evoluzione stimata del MOL e della sostenibilità del debito</t>
  </si>
  <si>
    <t>SCENARIO WROST</t>
  </si>
  <si>
    <t>ipotesi aumento volumi:</t>
  </si>
  <si>
    <t>ipotesi diminuzione volumi:</t>
  </si>
  <si>
    <t>MOL %</t>
  </si>
  <si>
    <t>Dscr</t>
  </si>
  <si>
    <t>MOL%</t>
  </si>
  <si>
    <t>MOL stimato</t>
  </si>
  <si>
    <t>MOL best</t>
  </si>
  <si>
    <t>MOL wrost</t>
  </si>
  <si>
    <t>DSCR stimato</t>
  </si>
  <si>
    <t>DSCR best</t>
  </si>
  <si>
    <t>DSCR wrost</t>
  </si>
  <si>
    <t>Costi normali</t>
  </si>
  <si>
    <t>Δ (Y/Y-1)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</si>
</sst>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164" formatCode="&quot;€&quot;\ #,##0.00;[Red]\-&quot;€&quot;\ #,##0.00"/>
    <numFmt numFmtId="165" formatCode="0.0%"/>
    <numFmt numFmtId="166" formatCode="#,##0.00\ _€;[Red]\-#,##0.00\ _€"/>
    <numFmt numFmtId="167" formatCode="#,##0.00\ _€"/>
    <numFmt numFmtId="168" formatCode="0.00_ ;[Red]\-0.0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9"/>
      <color rgb="FF284472"/>
      <name val="Century Gothic"/>
      <family val="2"/>
    </font>
    <font>
      <b/>
      <sz val="9"/>
      <color rgb="FF284472"/>
      <name val="Century Gothic"/>
      <family val="2"/>
    </font>
    <font>
      <b/>
      <sz val="9"/>
      <color theme="6" tint="-0.499984740745262"/>
      <name val="Century Gothic"/>
      <family val="2"/>
    </font>
    <font>
      <sz val="9"/>
      <color theme="5" tint="-0.249977111117893"/>
      <name val="Century Gothic"/>
      <family val="2"/>
    </font>
    <font>
      <b/>
      <sz val="9"/>
      <color theme="4" tint="-0.249977111117893"/>
      <name val="Century Gothic"/>
      <family val="2"/>
    </font>
    <font>
      <sz val="9"/>
      <color theme="1" tint="0.34998626667073579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9"/>
      <color theme="0"/>
      <name val="Century Gothic"/>
      <family val="2"/>
    </font>
    <font>
      <sz val="9"/>
      <color theme="6" tint="-0.499984740745262"/>
      <name val="Century Gothic"/>
      <family val="2"/>
    </font>
    <font>
      <b/>
      <sz val="9"/>
      <color theme="1" tint="0.499984740745262"/>
      <name val="Century Gothic"/>
      <family val="2"/>
    </font>
    <font>
      <sz val="9"/>
      <color theme="1" tint="0.499984740745262"/>
      <name val="Century Gothic"/>
      <family val="2"/>
    </font>
    <font>
      <b/>
      <sz val="9"/>
      <color theme="5" tint="-0.249977111117893"/>
      <name val="Century Gothic"/>
      <family val="2"/>
    </font>
    <font>
      <sz val="9"/>
      <color theme="0" tint="-0.14999847407452621"/>
      <name val="Century Gothic"/>
      <family val="2"/>
    </font>
    <font>
      <b/>
      <sz val="9"/>
      <color theme="3"/>
      <name val="Century Gothic"/>
      <family val="2"/>
    </font>
    <font>
      <b/>
      <sz val="9"/>
      <color theme="9" tint="-0.499984740745262"/>
      <name val="Century Gothic"/>
      <family val="2"/>
    </font>
    <font>
      <b/>
      <sz val="9"/>
      <color rgb="FF009E47"/>
      <name val="Century Gothic"/>
      <family val="2"/>
    </font>
    <font>
      <b/>
      <sz val="9"/>
      <color rgb="FF00B050"/>
      <name val="Century Gothic"/>
      <family val="2"/>
    </font>
    <font>
      <b/>
      <sz val="9"/>
      <color rgb="FF008000"/>
      <name val="Century Gothic"/>
      <family val="2"/>
    </font>
    <font>
      <b/>
      <sz val="9"/>
      <color rgb="FFC0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150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AAA"/>
        <bgColor indexed="64"/>
      </patternFill>
    </fill>
    <fill>
      <patternFill patternType="solid">
        <fgColor rgb="FFEEE1A8"/>
        <bgColor indexed="64"/>
      </patternFill>
    </fill>
    <fill>
      <patternFill patternType="solid">
        <fgColor rgb="FFF1E7A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ashDotDot">
        <color theme="4"/>
      </left>
      <right/>
      <top style="dashDotDot">
        <color theme="4"/>
      </top>
      <bottom/>
      <diagonal/>
    </border>
    <border>
      <left/>
      <right/>
      <top style="dashDotDot">
        <color theme="4"/>
      </top>
      <bottom/>
      <diagonal/>
    </border>
    <border>
      <left/>
      <right style="dashDotDot">
        <color theme="4"/>
      </right>
      <top style="dashDotDot">
        <color theme="4"/>
      </top>
      <bottom/>
      <diagonal/>
    </border>
    <border>
      <left style="dashDotDot">
        <color theme="4"/>
      </left>
      <right/>
      <top/>
      <bottom/>
      <diagonal/>
    </border>
    <border>
      <left/>
      <right style="dashDotDot">
        <color theme="4"/>
      </right>
      <top/>
      <bottom/>
      <diagonal/>
    </border>
    <border>
      <left/>
      <right style="dashDotDot">
        <color theme="4"/>
      </right>
      <top/>
      <bottom style="thin">
        <color indexed="64"/>
      </bottom>
      <diagonal/>
    </border>
    <border>
      <left style="dashDotDot">
        <color theme="4"/>
      </left>
      <right/>
      <top/>
      <bottom style="dashDotDot">
        <color theme="4"/>
      </bottom>
      <diagonal/>
    </border>
    <border>
      <left/>
      <right/>
      <top/>
      <bottom style="dashDotDot">
        <color theme="4"/>
      </bottom>
      <diagonal/>
    </border>
    <border>
      <left/>
      <right style="dashDotDot">
        <color theme="4"/>
      </right>
      <top/>
      <bottom style="dashDotDot">
        <color theme="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2">
    <xf numFmtId="0" fontId="0" fillId="0" borderId="0" xfId="0"/>
    <xf numFmtId="165" fontId="3" fillId="0" borderId="7" xfId="0" applyNumberFormat="1" applyFont="1" applyBorder="1" applyProtection="1">
      <protection hidden="1"/>
    </xf>
    <xf numFmtId="165" fontId="3" fillId="0" borderId="3" xfId="0" applyNumberFormat="1" applyFont="1" applyBorder="1" applyProtection="1">
      <protection hidden="1"/>
    </xf>
    <xf numFmtId="165" fontId="3" fillId="0" borderId="7" xfId="0" applyNumberFormat="1" applyFont="1" applyBorder="1" applyAlignment="1" applyProtection="1">
      <alignment horizontal="center"/>
      <protection hidden="1"/>
    </xf>
    <xf numFmtId="9" fontId="3" fillId="0" borderId="7" xfId="1" applyFont="1" applyBorder="1" applyAlignment="1" applyProtection="1">
      <alignment horizontal="center"/>
      <protection hidden="1"/>
    </xf>
    <xf numFmtId="9" fontId="3" fillId="0" borderId="3" xfId="1" applyFont="1" applyBorder="1" applyAlignment="1" applyProtection="1">
      <alignment horizontal="center"/>
      <protection hidden="1"/>
    </xf>
    <xf numFmtId="9" fontId="4" fillId="0" borderId="7" xfId="1" applyFont="1" applyBorder="1" applyAlignment="1" applyProtection="1">
      <alignment horizontal="center"/>
      <protection hidden="1"/>
    </xf>
    <xf numFmtId="165" fontId="3" fillId="0" borderId="0" xfId="0" applyNumberFormat="1" applyFont="1" applyAlignment="1" applyProtection="1">
      <alignment horizontal="center"/>
      <protection hidden="1"/>
    </xf>
    <xf numFmtId="165" fontId="4" fillId="0" borderId="9" xfId="0" applyNumberFormat="1" applyFont="1" applyBorder="1" applyProtection="1">
      <protection hidden="1"/>
    </xf>
    <xf numFmtId="165" fontId="4" fillId="0" borderId="9" xfId="0" applyNumberFormat="1" applyFont="1" applyBorder="1" applyAlignment="1" applyProtection="1">
      <alignment horizontal="center"/>
      <protection hidden="1"/>
    </xf>
    <xf numFmtId="9" fontId="4" fillId="0" borderId="9" xfId="1" applyFont="1" applyBorder="1" applyAlignment="1" applyProtection="1">
      <alignment horizontal="center"/>
      <protection hidden="1"/>
    </xf>
    <xf numFmtId="9" fontId="4" fillId="0" borderId="11" xfId="1" applyFont="1" applyBorder="1" applyAlignment="1" applyProtection="1">
      <alignment horizontal="center"/>
      <protection hidden="1"/>
    </xf>
    <xf numFmtId="165" fontId="4" fillId="0" borderId="0" xfId="0" applyNumberFormat="1" applyFont="1" applyAlignment="1" applyProtection="1">
      <alignment horizontal="center"/>
      <protection hidden="1"/>
    </xf>
    <xf numFmtId="165" fontId="4" fillId="0" borderId="11" xfId="0" applyNumberFormat="1" applyFont="1" applyBorder="1" applyProtection="1">
      <protection hidden="1"/>
    </xf>
    <xf numFmtId="0" fontId="4" fillId="0" borderId="15" xfId="0" applyFont="1" applyBorder="1" applyProtection="1">
      <protection locked="0" hidden="1"/>
    </xf>
    <xf numFmtId="165" fontId="4" fillId="0" borderId="1" xfId="0" applyNumberFormat="1" applyFont="1" applyBorder="1" applyProtection="1">
      <protection hidden="1"/>
    </xf>
    <xf numFmtId="165" fontId="4" fillId="0" borderId="1" xfId="0" applyNumberFormat="1" applyFont="1" applyBorder="1" applyAlignment="1" applyProtection="1">
      <alignment horizontal="center"/>
      <protection hidden="1"/>
    </xf>
    <xf numFmtId="9" fontId="4" fillId="0" borderId="1" xfId="1" applyFont="1" applyBorder="1" applyAlignment="1" applyProtection="1">
      <alignment horizontal="center"/>
      <protection hidden="1"/>
    </xf>
    <xf numFmtId="165" fontId="5" fillId="0" borderId="0" xfId="0" applyNumberFormat="1" applyFont="1" applyProtection="1"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165" fontId="7" fillId="0" borderId="0" xfId="0" applyNumberFormat="1" applyFont="1" applyAlignment="1" applyProtection="1">
      <alignment horizontal="center"/>
      <protection hidden="1"/>
    </xf>
    <xf numFmtId="165" fontId="4" fillId="0" borderId="17" xfId="0" applyNumberFormat="1" applyFont="1" applyBorder="1" applyAlignment="1" applyProtection="1">
      <alignment horizontal="right"/>
      <protection hidden="1"/>
    </xf>
    <xf numFmtId="165" fontId="4" fillId="0" borderId="3" xfId="0" applyNumberFormat="1" applyFont="1" applyBorder="1" applyAlignment="1" applyProtection="1">
      <alignment horizontal="right"/>
      <protection hidden="1"/>
    </xf>
    <xf numFmtId="9" fontId="4" fillId="0" borderId="3" xfId="1" applyFont="1" applyBorder="1" applyAlignment="1" applyProtection="1">
      <alignment horizontal="center"/>
      <protection hidden="1"/>
    </xf>
    <xf numFmtId="165" fontId="4" fillId="0" borderId="11" xfId="0" applyNumberFormat="1" applyFont="1" applyBorder="1" applyAlignment="1" applyProtection="1">
      <alignment horizontal="right"/>
      <protection hidden="1"/>
    </xf>
    <xf numFmtId="9" fontId="4" fillId="0" borderId="0" xfId="1" applyFont="1" applyBorder="1" applyAlignment="1" applyProtection="1">
      <alignment horizontal="center"/>
      <protection hidden="1"/>
    </xf>
    <xf numFmtId="165" fontId="4" fillId="0" borderId="0" xfId="0" applyNumberFormat="1" applyFont="1" applyAlignment="1" applyProtection="1">
      <alignment horizontal="right"/>
      <protection hidden="1"/>
    </xf>
    <xf numFmtId="9" fontId="4" fillId="0" borderId="0" xfId="1" applyFont="1" applyAlignment="1" applyProtection="1">
      <alignment horizontal="center"/>
      <protection hidden="1"/>
    </xf>
    <xf numFmtId="165" fontId="4" fillId="0" borderId="9" xfId="0" applyNumberFormat="1" applyFont="1" applyBorder="1" applyAlignment="1" applyProtection="1">
      <alignment horizontal="right"/>
      <protection hidden="1"/>
    </xf>
    <xf numFmtId="165" fontId="4" fillId="0" borderId="1" xfId="0" applyNumberFormat="1" applyFont="1" applyBorder="1" applyAlignment="1" applyProtection="1">
      <alignment horizontal="right"/>
      <protection hidden="1"/>
    </xf>
    <xf numFmtId="165" fontId="8" fillId="0" borderId="0" xfId="0" applyNumberFormat="1" applyFont="1" applyProtection="1">
      <protection hidden="1"/>
    </xf>
    <xf numFmtId="9" fontId="8" fillId="0" borderId="0" xfId="1" applyFont="1" applyAlignment="1" applyProtection="1">
      <alignment horizontal="center"/>
      <protection hidden="1"/>
    </xf>
    <xf numFmtId="165" fontId="9" fillId="2" borderId="0" xfId="0" applyNumberFormat="1" applyFont="1" applyFill="1" applyAlignment="1" applyProtection="1">
      <alignment horizontal="center"/>
      <protection hidden="1"/>
    </xf>
    <xf numFmtId="165" fontId="9" fillId="0" borderId="0" xfId="0" applyNumberFormat="1" applyFont="1" applyAlignment="1" applyProtection="1">
      <alignment horizontal="center"/>
      <protection hidden="1"/>
    </xf>
    <xf numFmtId="166" fontId="10" fillId="5" borderId="0" xfId="0" applyNumberFormat="1" applyFont="1" applyFill="1" applyAlignment="1" applyProtection="1">
      <alignment horizontal="center" vertical="center"/>
      <protection locked="0" hidden="1"/>
    </xf>
    <xf numFmtId="165" fontId="10" fillId="0" borderId="3" xfId="0" applyNumberFormat="1" applyFont="1" applyBorder="1" applyAlignment="1" applyProtection="1">
      <alignment horizontal="center"/>
      <protection hidden="1"/>
    </xf>
    <xf numFmtId="165" fontId="10" fillId="4" borderId="3" xfId="0" applyNumberFormat="1" applyFont="1" applyFill="1" applyBorder="1" applyAlignment="1" applyProtection="1">
      <alignment horizontal="center"/>
      <protection hidden="1"/>
    </xf>
    <xf numFmtId="165" fontId="4" fillId="4" borderId="17" xfId="0" applyNumberFormat="1" applyFont="1" applyFill="1" applyBorder="1" applyAlignment="1" applyProtection="1">
      <alignment horizontal="center"/>
      <protection hidden="1"/>
    </xf>
    <xf numFmtId="165" fontId="10" fillId="5" borderId="3" xfId="0" applyNumberFormat="1" applyFont="1" applyFill="1" applyBorder="1" applyProtection="1">
      <protection hidden="1"/>
    </xf>
    <xf numFmtId="165" fontId="10" fillId="4" borderId="0" xfId="0" applyNumberFormat="1" applyFont="1" applyFill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left" vertical="center"/>
      <protection hidden="1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 applyProtection="1">
      <alignment horizontal="left" vertical="center"/>
      <protection hidden="1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 applyProtection="1">
      <alignment horizontal="left" vertical="center"/>
      <protection hidden="1"/>
    </xf>
    <xf numFmtId="0" fontId="11" fillId="0" borderId="3" xfId="0" applyFont="1" applyBorder="1" applyAlignment="1" applyProtection="1">
      <alignment horizontal="left" vertical="center"/>
      <protection hidden="1"/>
    </xf>
    <xf numFmtId="0" fontId="11" fillId="4" borderId="3" xfId="0" applyFont="1" applyFill="1" applyBorder="1" applyAlignment="1" applyProtection="1">
      <alignment horizontal="left" vertical="center"/>
      <protection hidden="1"/>
    </xf>
    <xf numFmtId="0" fontId="11" fillId="7" borderId="3" xfId="0" applyFont="1" applyFill="1" applyBorder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0" fontId="13" fillId="3" borderId="0" xfId="0" applyFont="1" applyFill="1"/>
    <xf numFmtId="0" fontId="11" fillId="0" borderId="0" xfId="0" applyFont="1" applyProtection="1">
      <protection hidden="1"/>
    </xf>
    <xf numFmtId="0" fontId="3" fillId="0" borderId="0" xfId="0" applyFont="1" applyProtection="1">
      <protection locked="0" hidden="1"/>
    </xf>
    <xf numFmtId="0" fontId="3" fillId="0" borderId="0" xfId="0" applyFont="1"/>
    <xf numFmtId="0" fontId="11" fillId="0" borderId="2" xfId="0" applyFont="1" applyBorder="1" applyProtection="1">
      <protection hidden="1"/>
    </xf>
    <xf numFmtId="0" fontId="11" fillId="0" borderId="19" xfId="0" applyFont="1" applyBorder="1" applyAlignment="1" applyProtection="1">
      <alignment horizontal="right"/>
      <protection hidden="1"/>
    </xf>
    <xf numFmtId="0" fontId="3" fillId="5" borderId="2" xfId="0" applyFont="1" applyFill="1" applyBorder="1" applyAlignment="1" applyProtection="1">
      <alignment horizontal="center"/>
      <protection locked="0" hidden="1"/>
    </xf>
    <xf numFmtId="0" fontId="3" fillId="4" borderId="3" xfId="0" applyFont="1" applyFill="1" applyBorder="1" applyAlignment="1" applyProtection="1">
      <alignment horizontal="center"/>
      <protection hidden="1"/>
    </xf>
    <xf numFmtId="0" fontId="3" fillId="5" borderId="3" xfId="0" applyFont="1" applyFill="1" applyBorder="1" applyProtection="1">
      <protection hidden="1"/>
    </xf>
    <xf numFmtId="0" fontId="11" fillId="4" borderId="3" xfId="0" applyFont="1" applyFill="1" applyBorder="1" applyAlignment="1" applyProtection="1">
      <alignment horizontal="center"/>
      <protection hidden="1"/>
    </xf>
    <xf numFmtId="0" fontId="3" fillId="5" borderId="2" xfId="0" applyFont="1" applyFill="1" applyBorder="1" applyProtection="1">
      <protection hidden="1"/>
    </xf>
    <xf numFmtId="0" fontId="3" fillId="0" borderId="15" xfId="0" applyFont="1" applyBorder="1" applyProtection="1">
      <protection hidden="1"/>
    </xf>
    <xf numFmtId="0" fontId="11" fillId="0" borderId="2" xfId="0" applyFont="1" applyBorder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9" fontId="3" fillId="0" borderId="0" xfId="0" applyNumberFormat="1" applyFont="1" applyProtection="1">
      <protection hidden="1"/>
    </xf>
    <xf numFmtId="0" fontId="2" fillId="0" borderId="7" xfId="0" applyFont="1" applyBorder="1" applyProtection="1">
      <protection hidden="1"/>
    </xf>
    <xf numFmtId="0" fontId="14" fillId="0" borderId="16" xfId="0" applyFont="1" applyBorder="1" applyProtection="1">
      <protection hidden="1"/>
    </xf>
    <xf numFmtId="0" fontId="15" fillId="0" borderId="28" xfId="0" applyFont="1" applyBorder="1" applyAlignment="1" applyProtection="1">
      <alignment vertical="center"/>
      <protection hidden="1"/>
    </xf>
    <xf numFmtId="0" fontId="3" fillId="0" borderId="29" xfId="0" applyFont="1" applyBorder="1" applyAlignment="1">
      <alignment vertical="center"/>
    </xf>
    <xf numFmtId="0" fontId="3" fillId="0" borderId="29" xfId="0" applyFont="1" applyBorder="1" applyProtection="1">
      <protection hidden="1"/>
    </xf>
    <xf numFmtId="0" fontId="3" fillId="0" borderId="30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4" fillId="0" borderId="10" xfId="0" applyFont="1" applyBorder="1" applyProtection="1">
      <protection hidden="1"/>
    </xf>
    <xf numFmtId="0" fontId="3" fillId="0" borderId="31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15" fillId="0" borderId="4" xfId="0" applyFont="1" applyBorder="1" applyProtection="1">
      <protection hidden="1"/>
    </xf>
    <xf numFmtId="0" fontId="15" fillId="0" borderId="1" xfId="0" applyFont="1" applyBorder="1" applyProtection="1">
      <protection hidden="1"/>
    </xf>
    <xf numFmtId="0" fontId="15" fillId="0" borderId="33" xfId="0" applyFont="1" applyBorder="1" applyProtection="1">
      <protection hidden="1"/>
    </xf>
    <xf numFmtId="0" fontId="16" fillId="0" borderId="31" xfId="0" applyFont="1" applyBorder="1" applyProtection="1">
      <protection hidden="1"/>
    </xf>
    <xf numFmtId="6" fontId="16" fillId="0" borderId="6" xfId="0" applyNumberFormat="1" applyFont="1" applyBorder="1" applyProtection="1">
      <protection hidden="1"/>
    </xf>
    <xf numFmtId="6" fontId="16" fillId="0" borderId="0" xfId="0" applyNumberFormat="1" applyFont="1" applyProtection="1">
      <protection hidden="1"/>
    </xf>
    <xf numFmtId="6" fontId="16" fillId="0" borderId="32" xfId="0" applyNumberFormat="1" applyFont="1" applyBorder="1" applyProtection="1">
      <protection hidden="1"/>
    </xf>
    <xf numFmtId="6" fontId="16" fillId="0" borderId="1" xfId="0" applyNumberFormat="1" applyFont="1" applyBorder="1" applyProtection="1">
      <protection hidden="1"/>
    </xf>
    <xf numFmtId="6" fontId="16" fillId="0" borderId="33" xfId="0" applyNumberFormat="1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15" fillId="0" borderId="31" xfId="0" applyFont="1" applyBorder="1" applyAlignment="1" applyProtection="1">
      <alignment horizontal="right"/>
      <protection hidden="1"/>
    </xf>
    <xf numFmtId="0" fontId="15" fillId="0" borderId="0" xfId="0" applyFont="1" applyProtection="1">
      <protection hidden="1"/>
    </xf>
    <xf numFmtId="6" fontId="15" fillId="0" borderId="0" xfId="0" applyNumberFormat="1" applyFont="1" applyProtection="1">
      <protection hidden="1"/>
    </xf>
    <xf numFmtId="6" fontId="15" fillId="0" borderId="32" xfId="0" applyNumberFormat="1" applyFont="1" applyBorder="1" applyProtection="1">
      <protection hidden="1"/>
    </xf>
    <xf numFmtId="0" fontId="6" fillId="0" borderId="14" xfId="0" applyFont="1" applyBorder="1" applyAlignment="1" applyProtection="1">
      <alignment horizontal="right"/>
      <protection hidden="1"/>
    </xf>
    <xf numFmtId="0" fontId="3" fillId="0" borderId="34" xfId="0" applyFont="1" applyBorder="1" applyProtection="1">
      <protection hidden="1"/>
    </xf>
    <xf numFmtId="0" fontId="3" fillId="0" borderId="35" xfId="0" applyFont="1" applyBorder="1" applyProtection="1">
      <protection hidden="1"/>
    </xf>
    <xf numFmtId="0" fontId="3" fillId="0" borderId="36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Protection="1">
      <protection hidden="1"/>
    </xf>
    <xf numFmtId="165" fontId="4" fillId="0" borderId="14" xfId="0" applyNumberFormat="1" applyFont="1" applyBorder="1" applyAlignment="1" applyProtection="1">
      <alignment horizontal="right"/>
      <protection hidden="1"/>
    </xf>
    <xf numFmtId="0" fontId="4" fillId="0" borderId="11" xfId="0" applyFont="1" applyBorder="1" applyAlignment="1" applyProtection="1">
      <alignment horizontal="right"/>
      <protection hidden="1"/>
    </xf>
    <xf numFmtId="0" fontId="4" fillId="0" borderId="11" xfId="0" applyFont="1" applyBorder="1" applyProtection="1">
      <protection hidden="1"/>
    </xf>
    <xf numFmtId="165" fontId="4" fillId="0" borderId="18" xfId="0" applyNumberFormat="1" applyFont="1" applyBorder="1" applyAlignment="1" applyProtection="1">
      <alignment horizontal="right"/>
      <protection hidden="1"/>
    </xf>
    <xf numFmtId="0" fontId="2" fillId="0" borderId="0" xfId="0" applyFont="1" applyProtection="1">
      <protection hidden="1"/>
    </xf>
    <xf numFmtId="0" fontId="4" fillId="0" borderId="14" xfId="0" applyFont="1" applyBorder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18" xfId="0" applyFont="1" applyBorder="1" applyProtection="1">
      <protection hidden="1"/>
    </xf>
    <xf numFmtId="0" fontId="2" fillId="0" borderId="10" xfId="0" applyFont="1" applyBorder="1" applyProtection="1">
      <protection hidden="1"/>
    </xf>
    <xf numFmtId="0" fontId="17" fillId="0" borderId="14" xfId="0" applyFont="1" applyBorder="1" applyAlignment="1" applyProtection="1">
      <alignment horizontal="right"/>
      <protection hidden="1"/>
    </xf>
    <xf numFmtId="0" fontId="17" fillId="0" borderId="0" xfId="0" applyFont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18" fillId="0" borderId="0" xfId="0" applyFont="1" applyAlignment="1" applyProtection="1">
      <alignment horizontal="left"/>
      <protection hidden="1"/>
    </xf>
    <xf numFmtId="0" fontId="13" fillId="3" borderId="0" xfId="0" applyFont="1" applyFill="1" applyAlignment="1">
      <alignment wrapText="1"/>
    </xf>
    <xf numFmtId="0" fontId="3" fillId="0" borderId="0" xfId="0" applyFont="1" applyAlignment="1" applyProtection="1">
      <alignment wrapText="1"/>
      <protection hidden="1"/>
    </xf>
    <xf numFmtId="0" fontId="11" fillId="0" borderId="3" xfId="0" applyFont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0" fontId="19" fillId="0" borderId="0" xfId="0" applyFont="1" applyProtection="1">
      <protection hidden="1"/>
    </xf>
    <xf numFmtId="0" fontId="11" fillId="0" borderId="1" xfId="0" applyFont="1" applyBorder="1" applyProtection="1"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165" fontId="11" fillId="0" borderId="0" xfId="0" applyNumberFormat="1" applyFont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3" fillId="0" borderId="0" xfId="0" applyFont="1" applyAlignment="1">
      <alignment horizontal="center"/>
    </xf>
    <xf numFmtId="166" fontId="3" fillId="5" borderId="0" xfId="0" applyNumberFormat="1" applyFont="1" applyFill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center"/>
      <protection locked="0" hidden="1"/>
    </xf>
    <xf numFmtId="166" fontId="3" fillId="4" borderId="0" xfId="0" applyNumberFormat="1" applyFont="1" applyFill="1" applyAlignment="1" applyProtection="1">
      <alignment horizontal="center"/>
      <protection locked="0" hidden="1"/>
    </xf>
    <xf numFmtId="0" fontId="11" fillId="0" borderId="0" xfId="0" applyFont="1" applyAlignment="1" applyProtection="1">
      <alignment horizontal="left"/>
      <protection locked="0" hidden="1"/>
    </xf>
    <xf numFmtId="0" fontId="11" fillId="0" borderId="1" xfId="0" applyFont="1" applyBorder="1" applyAlignment="1" applyProtection="1">
      <alignment horizontal="left"/>
      <protection hidden="1"/>
    </xf>
    <xf numFmtId="166" fontId="3" fillId="5" borderId="1" xfId="0" applyNumberFormat="1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right"/>
      <protection hidden="1"/>
    </xf>
    <xf numFmtId="0" fontId="11" fillId="0" borderId="3" xfId="0" applyFont="1" applyBorder="1" applyProtection="1">
      <protection hidden="1"/>
    </xf>
    <xf numFmtId="0" fontId="11" fillId="0" borderId="3" xfId="0" applyFont="1" applyBorder="1" applyAlignment="1" applyProtection="1">
      <alignment horizontal="right"/>
      <protection hidden="1"/>
    </xf>
    <xf numFmtId="0" fontId="3" fillId="0" borderId="3" xfId="0" applyFont="1" applyBorder="1" applyAlignment="1" applyProtection="1">
      <alignment horizontal="center"/>
      <protection hidden="1"/>
    </xf>
    <xf numFmtId="165" fontId="11" fillId="0" borderId="3" xfId="0" applyNumberFormat="1" applyFont="1" applyBorder="1" applyAlignment="1" applyProtection="1">
      <alignment horizont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2" fontId="20" fillId="0" borderId="0" xfId="0" applyNumberFormat="1" applyFont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right"/>
      <protection hidden="1"/>
    </xf>
    <xf numFmtId="0" fontId="3" fillId="0" borderId="1" xfId="0" applyFont="1" applyBorder="1" applyAlignment="1">
      <alignment horizontal="center"/>
    </xf>
    <xf numFmtId="14" fontId="3" fillId="0" borderId="0" xfId="0" applyNumberFormat="1" applyFont="1" applyAlignment="1" applyProtection="1">
      <alignment horizontal="center"/>
      <protection hidden="1"/>
    </xf>
    <xf numFmtId="166" fontId="3" fillId="7" borderId="2" xfId="0" applyNumberFormat="1" applyFont="1" applyFill="1" applyBorder="1" applyAlignment="1" applyProtection="1">
      <alignment horizontal="center" vertical="center"/>
      <protection locked="0" hidden="1"/>
    </xf>
    <xf numFmtId="0" fontId="3" fillId="7" borderId="1" xfId="0" applyFont="1" applyFill="1" applyBorder="1" applyAlignment="1">
      <alignment horizontal="center" vertical="center"/>
    </xf>
    <xf numFmtId="14" fontId="3" fillId="0" borderId="0" xfId="0" applyNumberFormat="1" applyFont="1" applyAlignment="1" applyProtection="1">
      <alignment horizontal="center" vertical="center"/>
      <protection hidden="1"/>
    </xf>
    <xf numFmtId="166" fontId="3" fillId="7" borderId="0" xfId="0" applyNumberFormat="1" applyFont="1" applyFill="1" applyAlignment="1" applyProtection="1">
      <alignment horizontal="center" vertical="center"/>
      <protection locked="0" hidden="1"/>
    </xf>
    <xf numFmtId="0" fontId="3" fillId="4" borderId="0" xfId="0" applyFont="1" applyFill="1" applyAlignment="1" applyProtection="1">
      <alignment horizontal="left"/>
      <protection hidden="1"/>
    </xf>
    <xf numFmtId="0" fontId="3" fillId="7" borderId="0" xfId="0" applyFont="1" applyFill="1" applyAlignment="1" applyProtection="1">
      <alignment horizontal="left"/>
      <protection hidden="1"/>
    </xf>
    <xf numFmtId="0" fontId="3" fillId="7" borderId="0" xfId="0" applyFont="1" applyFill="1" applyAlignment="1">
      <alignment horizontal="center"/>
    </xf>
    <xf numFmtId="165" fontId="3" fillId="4" borderId="0" xfId="0" applyNumberFormat="1" applyFont="1" applyFill="1" applyAlignment="1" applyProtection="1">
      <alignment horizontal="left"/>
      <protection hidden="1"/>
    </xf>
    <xf numFmtId="165" fontId="3" fillId="7" borderId="0" xfId="0" applyNumberFormat="1" applyFont="1" applyFill="1" applyAlignment="1" applyProtection="1">
      <alignment horizontal="left"/>
      <protection hidden="1"/>
    </xf>
    <xf numFmtId="165" fontId="3" fillId="7" borderId="0" xfId="0" applyNumberFormat="1" applyFont="1" applyFill="1" applyProtection="1">
      <protection hidden="1"/>
    </xf>
    <xf numFmtId="2" fontId="3" fillId="7" borderId="0" xfId="0" applyNumberFormat="1" applyFont="1" applyFill="1" applyAlignment="1">
      <alignment horizontal="left"/>
    </xf>
    <xf numFmtId="166" fontId="3" fillId="7" borderId="1" xfId="0" applyNumberFormat="1" applyFont="1" applyFill="1" applyBorder="1" applyAlignment="1" applyProtection="1">
      <alignment horizontal="center" vertical="center"/>
      <protection locked="0" hidden="1"/>
    </xf>
    <xf numFmtId="0" fontId="3" fillId="4" borderId="1" xfId="0" applyFont="1" applyFill="1" applyBorder="1" applyAlignment="1" applyProtection="1">
      <alignment horizontal="left"/>
      <protection hidden="1"/>
    </xf>
    <xf numFmtId="0" fontId="3" fillId="7" borderId="1" xfId="0" applyFont="1" applyFill="1" applyBorder="1" applyAlignment="1" applyProtection="1">
      <alignment horizontal="left"/>
      <protection hidden="1"/>
    </xf>
    <xf numFmtId="0" fontId="3" fillId="7" borderId="1" xfId="0" applyFont="1" applyFill="1" applyBorder="1" applyAlignment="1">
      <alignment horizontal="center"/>
    </xf>
    <xf numFmtId="2" fontId="3" fillId="0" borderId="0" xfId="0" applyNumberFormat="1" applyFont="1"/>
    <xf numFmtId="0" fontId="21" fillId="0" borderId="0" xfId="0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3" fillId="7" borderId="3" xfId="0" applyFont="1" applyFill="1" applyBorder="1" applyAlignment="1">
      <alignment horizontal="center" vertical="center"/>
    </xf>
    <xf numFmtId="0" fontId="2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>
      <alignment horizontal="center" vertical="center"/>
    </xf>
    <xf numFmtId="0" fontId="23" fillId="0" borderId="0" xfId="0" applyFont="1" applyAlignment="1" applyProtection="1">
      <alignment horizontal="right" vertical="center" wrapText="1"/>
      <protection hidden="1"/>
    </xf>
    <xf numFmtId="9" fontId="23" fillId="0" borderId="0" xfId="0" applyNumberFormat="1" applyFont="1" applyAlignment="1" applyProtection="1">
      <alignment horizontal="left"/>
      <protection hidden="1"/>
    </xf>
    <xf numFmtId="1" fontId="3" fillId="0" borderId="0" xfId="0" applyNumberFormat="1" applyFont="1" applyAlignment="1" applyProtection="1">
      <alignment horizontal="left"/>
      <protection hidden="1"/>
    </xf>
    <xf numFmtId="168" fontId="3" fillId="4" borderId="0" xfId="0" applyNumberFormat="1" applyFont="1" applyFill="1" applyAlignment="1" applyProtection="1">
      <alignment horizontal="left"/>
      <protection hidden="1"/>
    </xf>
    <xf numFmtId="1" fontId="3" fillId="4" borderId="0" xfId="0" applyNumberFormat="1" applyFont="1" applyFill="1" applyAlignment="1" applyProtection="1">
      <alignment horizontal="left"/>
      <protection hidden="1"/>
    </xf>
    <xf numFmtId="168" fontId="3" fillId="7" borderId="0" xfId="0" applyNumberFormat="1" applyFont="1" applyFill="1" applyAlignment="1" applyProtection="1">
      <alignment horizontal="left"/>
      <protection hidden="1"/>
    </xf>
    <xf numFmtId="1" fontId="3" fillId="7" borderId="0" xfId="0" applyNumberFormat="1" applyFont="1" applyFill="1" applyAlignment="1" applyProtection="1">
      <alignment horizontal="left"/>
      <protection hidden="1"/>
    </xf>
    <xf numFmtId="0" fontId="3" fillId="7" borderId="0" xfId="0" applyFont="1" applyFill="1" applyProtection="1">
      <protection hidden="1"/>
    </xf>
    <xf numFmtId="0" fontId="22" fillId="0" borderId="0" xfId="0" applyFont="1" applyAlignment="1" applyProtection="1">
      <alignment horizontal="right" vertical="center" wrapText="1"/>
      <protection hidden="1"/>
    </xf>
    <xf numFmtId="9" fontId="22" fillId="0" borderId="0" xfId="0" applyNumberFormat="1" applyFont="1" applyAlignment="1" applyProtection="1">
      <alignment horizontal="left"/>
      <protection hidden="1"/>
    </xf>
    <xf numFmtId="165" fontId="3" fillId="0" borderId="0" xfId="0" applyNumberFormat="1" applyFont="1" applyAlignment="1" applyProtection="1">
      <alignment horizontal="left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0" borderId="0" xfId="0" applyFont="1" applyAlignment="1" applyProtection="1">
      <alignment horizontal="right"/>
      <protection hidden="1"/>
    </xf>
    <xf numFmtId="9" fontId="24" fillId="0" borderId="0" xfId="0" applyNumberFormat="1" applyFont="1" applyAlignment="1" applyProtection="1">
      <alignment horizontal="left"/>
      <protection hidden="1"/>
    </xf>
    <xf numFmtId="2" fontId="19" fillId="0" borderId="0" xfId="0" applyNumberFormat="1" applyFont="1" applyProtection="1">
      <protection hidden="1"/>
    </xf>
    <xf numFmtId="2" fontId="3" fillId="0" borderId="0" xfId="0" applyNumberFormat="1" applyFont="1" applyProtection="1">
      <protection hidden="1"/>
    </xf>
    <xf numFmtId="2" fontId="3" fillId="0" borderId="0" xfId="0" applyNumberFormat="1" applyFont="1" applyAlignment="1" applyProtection="1">
      <alignment horizontal="center"/>
      <protection hidden="1"/>
    </xf>
    <xf numFmtId="2" fontId="3" fillId="0" borderId="0" xfId="0" applyNumberFormat="1" applyFont="1" applyAlignment="1" applyProtection="1">
      <alignment horizontal="right"/>
      <protection hidden="1"/>
    </xf>
    <xf numFmtId="2" fontId="3" fillId="0" borderId="0" xfId="0" applyNumberFormat="1" applyFont="1" applyAlignment="1">
      <alignment horizontal="center"/>
    </xf>
    <xf numFmtId="2" fontId="12" fillId="0" borderId="0" xfId="0" applyNumberFormat="1" applyFont="1" applyProtection="1">
      <protection hidden="1"/>
    </xf>
    <xf numFmtId="2" fontId="13" fillId="0" borderId="0" xfId="0" applyNumberFormat="1" applyFont="1"/>
    <xf numFmtId="2" fontId="13" fillId="0" borderId="0" xfId="0" applyNumberFormat="1" applyFont="1" applyProtection="1">
      <protection hidden="1"/>
    </xf>
    <xf numFmtId="2" fontId="13" fillId="0" borderId="0" xfId="0" applyNumberFormat="1" applyFont="1" applyAlignment="1" applyProtection="1">
      <alignment horizontal="center"/>
      <protection hidden="1"/>
    </xf>
    <xf numFmtId="2" fontId="13" fillId="0" borderId="0" xfId="0" applyNumberFormat="1" applyFont="1" applyAlignment="1" applyProtection="1">
      <alignment horizontal="right"/>
      <protection hidden="1"/>
    </xf>
    <xf numFmtId="2" fontId="13" fillId="0" borderId="0" xfId="0" applyNumberFormat="1" applyFont="1" applyAlignment="1">
      <alignment horizontal="center"/>
    </xf>
    <xf numFmtId="14" fontId="13" fillId="0" borderId="0" xfId="0" applyNumberFormat="1" applyFont="1" applyAlignment="1" applyProtection="1">
      <alignment horizontal="center"/>
      <protection hidden="1"/>
    </xf>
    <xf numFmtId="1" fontId="13" fillId="0" borderId="0" xfId="0" applyNumberFormat="1" applyFont="1" applyProtection="1">
      <protection hidden="1"/>
    </xf>
    <xf numFmtId="165" fontId="13" fillId="0" borderId="0" xfId="1" applyNumberFormat="1" applyFont="1"/>
    <xf numFmtId="165" fontId="13" fillId="0" borderId="0" xfId="1" applyNumberFormat="1" applyFont="1" applyAlignment="1" applyProtection="1">
      <alignment horizontal="center"/>
      <protection hidden="1"/>
    </xf>
    <xf numFmtId="2" fontId="19" fillId="0" borderId="1" xfId="0" applyNumberFormat="1" applyFont="1" applyBorder="1" applyProtection="1">
      <protection hidden="1"/>
    </xf>
    <xf numFmtId="2" fontId="3" fillId="0" borderId="1" xfId="0" applyNumberFormat="1" applyFont="1" applyBorder="1"/>
    <xf numFmtId="2" fontId="3" fillId="0" borderId="1" xfId="0" applyNumberFormat="1" applyFont="1" applyBorder="1" applyProtection="1"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right"/>
      <protection hidden="1"/>
    </xf>
    <xf numFmtId="2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left"/>
      <protection hidden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3" fontId="3" fillId="0" borderId="0" xfId="0" applyNumberFormat="1" applyFont="1" applyProtection="1">
      <protection hidden="1"/>
    </xf>
    <xf numFmtId="3" fontId="3" fillId="0" borderId="0" xfId="0" applyNumberFormat="1" applyFont="1" applyProtection="1">
      <protection locked="0" hidden="1"/>
    </xf>
    <xf numFmtId="3" fontId="2" fillId="0" borderId="21" xfId="0" applyNumberFormat="1" applyFont="1" applyBorder="1" applyAlignment="1" applyProtection="1">
      <alignment horizontal="center"/>
      <protection hidden="1"/>
    </xf>
    <xf numFmtId="3" fontId="13" fillId="0" borderId="0" xfId="0" applyNumberFormat="1" applyFont="1" applyProtection="1">
      <protection hidden="1"/>
    </xf>
    <xf numFmtId="3" fontId="3" fillId="5" borderId="37" xfId="0" applyNumberFormat="1" applyFont="1" applyFill="1" applyBorder="1" applyAlignment="1" applyProtection="1">
      <alignment horizontal="right"/>
      <protection locked="0" hidden="1"/>
    </xf>
    <xf numFmtId="3" fontId="4" fillId="5" borderId="8" xfId="0" applyNumberFormat="1" applyFont="1" applyFill="1" applyBorder="1" applyAlignment="1" applyProtection="1">
      <alignment horizontal="right"/>
      <protection locked="0" hidden="1"/>
    </xf>
    <xf numFmtId="3" fontId="4" fillId="5" borderId="20" xfId="0" applyNumberFormat="1" applyFont="1" applyFill="1" applyBorder="1" applyAlignment="1" applyProtection="1">
      <alignment horizontal="right"/>
      <protection locked="0" hidden="1"/>
    </xf>
    <xf numFmtId="3" fontId="6" fillId="5" borderId="24" xfId="0" applyNumberFormat="1" applyFont="1" applyFill="1" applyBorder="1" applyAlignment="1" applyProtection="1">
      <alignment horizontal="right"/>
      <protection hidden="1"/>
    </xf>
    <xf numFmtId="3" fontId="11" fillId="0" borderId="0" xfId="0" applyNumberFormat="1" applyFont="1" applyAlignment="1" applyProtection="1">
      <alignment horizontal="center"/>
      <protection hidden="1"/>
    </xf>
    <xf numFmtId="3" fontId="4" fillId="5" borderId="22" xfId="0" applyNumberFormat="1" applyFont="1" applyFill="1" applyBorder="1" applyAlignment="1" applyProtection="1">
      <alignment horizontal="right"/>
      <protection locked="0" hidden="1"/>
    </xf>
    <xf numFmtId="3" fontId="4" fillId="5" borderId="24" xfId="0" applyNumberFormat="1" applyFont="1" applyFill="1" applyBorder="1" applyAlignment="1" applyProtection="1">
      <alignment horizontal="right"/>
      <protection locked="0" hidden="1"/>
    </xf>
    <xf numFmtId="3" fontId="4" fillId="5" borderId="23" xfId="0" applyNumberFormat="1" applyFont="1" applyFill="1" applyBorder="1" applyAlignment="1" applyProtection="1">
      <alignment horizontal="right"/>
      <protection locked="0" hidden="1"/>
    </xf>
    <xf numFmtId="3" fontId="4" fillId="5" borderId="25" xfId="0" applyNumberFormat="1" applyFont="1" applyFill="1" applyBorder="1" applyAlignment="1" applyProtection="1">
      <alignment horizontal="right"/>
      <protection hidden="1"/>
    </xf>
    <xf numFmtId="3" fontId="4" fillId="5" borderId="26" xfId="0" applyNumberFormat="1" applyFont="1" applyFill="1" applyBorder="1" applyAlignment="1" applyProtection="1">
      <alignment horizontal="right"/>
      <protection locked="0" hidden="1"/>
    </xf>
    <xf numFmtId="3" fontId="17" fillId="5" borderId="24" xfId="0" applyNumberFormat="1" applyFont="1" applyFill="1" applyBorder="1" applyProtection="1">
      <protection hidden="1"/>
    </xf>
    <xf numFmtId="3" fontId="3" fillId="0" borderId="3" xfId="0" applyNumberFormat="1" applyFont="1" applyBorder="1" applyProtection="1">
      <protection hidden="1"/>
    </xf>
    <xf numFmtId="3" fontId="9" fillId="5" borderId="24" xfId="0" applyNumberFormat="1" applyFont="1" applyFill="1" applyBorder="1" applyAlignment="1" applyProtection="1">
      <alignment horizontal="center"/>
      <protection hidden="1"/>
    </xf>
    <xf numFmtId="3" fontId="3" fillId="0" borderId="1" xfId="0" applyNumberFormat="1" applyFont="1" applyBorder="1" applyProtection="1">
      <protection hidden="1"/>
    </xf>
    <xf numFmtId="3" fontId="11" fillId="5" borderId="22" xfId="0" applyNumberFormat="1" applyFont="1" applyFill="1" applyBorder="1" applyAlignment="1" applyProtection="1">
      <alignment horizontal="right"/>
      <protection hidden="1"/>
    </xf>
    <xf numFmtId="3" fontId="11" fillId="0" borderId="3" xfId="0" applyNumberFormat="1" applyFont="1" applyBorder="1" applyAlignment="1" applyProtection="1">
      <alignment horizontal="center"/>
      <protection hidden="1"/>
    </xf>
    <xf numFmtId="3" fontId="3" fillId="0" borderId="1" xfId="0" applyNumberFormat="1" applyFont="1" applyBorder="1" applyAlignment="1" applyProtection="1">
      <alignment horizontal="center"/>
      <protection hidden="1"/>
    </xf>
    <xf numFmtId="3" fontId="3" fillId="7" borderId="24" xfId="0" applyNumberFormat="1" applyFont="1" applyFill="1" applyBorder="1" applyAlignment="1" applyProtection="1">
      <alignment horizontal="left"/>
      <protection hidden="1"/>
    </xf>
    <xf numFmtId="3" fontId="11" fillId="0" borderId="0" xfId="0" applyNumberFormat="1" applyFont="1" applyProtection="1">
      <protection hidden="1"/>
    </xf>
    <xf numFmtId="3" fontId="11" fillId="7" borderId="20" xfId="0" applyNumberFormat="1" applyFont="1" applyFill="1" applyBorder="1" applyAlignment="1" applyProtection="1">
      <alignment horizontal="left" vertical="center"/>
      <protection hidden="1"/>
    </xf>
    <xf numFmtId="3" fontId="11" fillId="0" borderId="0" xfId="0" applyNumberFormat="1" applyFont="1" applyAlignment="1" applyProtection="1">
      <alignment horizontal="left" vertical="center"/>
      <protection hidden="1"/>
    </xf>
    <xf numFmtId="3" fontId="3" fillId="0" borderId="0" xfId="0" applyNumberFormat="1" applyFont="1" applyAlignment="1">
      <alignment horizontal="left"/>
    </xf>
    <xf numFmtId="3" fontId="3" fillId="7" borderId="24" xfId="0" applyNumberFormat="1" applyFont="1" applyFill="1" applyBorder="1" applyAlignment="1">
      <alignment horizontal="left"/>
    </xf>
    <xf numFmtId="3" fontId="12" fillId="0" borderId="0" xfId="0" applyNumberFormat="1" applyFont="1" applyProtection="1">
      <protection hidden="1"/>
    </xf>
    <xf numFmtId="3" fontId="11" fillId="0" borderId="1" xfId="0" applyNumberFormat="1" applyFont="1" applyBorder="1" applyProtection="1">
      <protection hidden="1"/>
    </xf>
    <xf numFmtId="3" fontId="3" fillId="0" borderId="0" xfId="0" applyNumberFormat="1" applyFont="1" applyAlignment="1" applyProtection="1">
      <alignment horizontal="center"/>
      <protection hidden="1"/>
    </xf>
    <xf numFmtId="3" fontId="3" fillId="4" borderId="22" xfId="0" applyNumberFormat="1" applyFont="1" applyFill="1" applyBorder="1" applyProtection="1">
      <protection locked="0" hidden="1"/>
    </xf>
    <xf numFmtId="3" fontId="4" fillId="4" borderId="8" xfId="0" applyNumberFormat="1" applyFont="1" applyFill="1" applyBorder="1" applyProtection="1">
      <protection locked="0" hidden="1"/>
    </xf>
    <xf numFmtId="3" fontId="4" fillId="4" borderId="23" xfId="0" applyNumberFormat="1" applyFont="1" applyFill="1" applyBorder="1" applyProtection="1">
      <protection locked="0" hidden="1"/>
    </xf>
    <xf numFmtId="3" fontId="4" fillId="4" borderId="20" xfId="0" applyNumberFormat="1" applyFont="1" applyFill="1" applyBorder="1" applyProtection="1">
      <protection locked="0" hidden="1"/>
    </xf>
    <xf numFmtId="3" fontId="6" fillId="4" borderId="24" xfId="0" applyNumberFormat="1" applyFont="1" applyFill="1" applyBorder="1" applyProtection="1">
      <protection hidden="1"/>
    </xf>
    <xf numFmtId="3" fontId="4" fillId="4" borderId="22" xfId="0" applyNumberFormat="1" applyFont="1" applyFill="1" applyBorder="1" applyAlignment="1" applyProtection="1">
      <alignment horizontal="right"/>
      <protection locked="0" hidden="1"/>
    </xf>
    <xf numFmtId="3" fontId="4" fillId="4" borderId="24" xfId="0" applyNumberFormat="1" applyFont="1" applyFill="1" applyBorder="1" applyAlignment="1" applyProtection="1">
      <alignment horizontal="right"/>
      <protection locked="0" hidden="1"/>
    </xf>
    <xf numFmtId="3" fontId="4" fillId="4" borderId="23" xfId="0" applyNumberFormat="1" applyFont="1" applyFill="1" applyBorder="1" applyAlignment="1" applyProtection="1">
      <alignment horizontal="right"/>
      <protection locked="0" hidden="1"/>
    </xf>
    <xf numFmtId="3" fontId="4" fillId="4" borderId="25" xfId="0" applyNumberFormat="1" applyFont="1" applyFill="1" applyBorder="1" applyAlignment="1" applyProtection="1">
      <alignment horizontal="right"/>
      <protection hidden="1"/>
    </xf>
    <xf numFmtId="3" fontId="4" fillId="4" borderId="8" xfId="0" applyNumberFormat="1" applyFont="1" applyFill="1" applyBorder="1" applyAlignment="1" applyProtection="1">
      <alignment horizontal="right"/>
      <protection locked="0" hidden="1"/>
    </xf>
    <xf numFmtId="3" fontId="4" fillId="4" borderId="26" xfId="0" applyNumberFormat="1" applyFont="1" applyFill="1" applyBorder="1" applyAlignment="1" applyProtection="1">
      <alignment horizontal="right"/>
      <protection locked="0" hidden="1"/>
    </xf>
    <xf numFmtId="3" fontId="17" fillId="4" borderId="24" xfId="0" applyNumberFormat="1" applyFont="1" applyFill="1" applyBorder="1" applyProtection="1">
      <protection hidden="1"/>
    </xf>
    <xf numFmtId="3" fontId="9" fillId="4" borderId="24" xfId="0" applyNumberFormat="1" applyFont="1" applyFill="1" applyBorder="1" applyAlignment="1" applyProtection="1">
      <alignment horizontal="center"/>
      <protection hidden="1"/>
    </xf>
    <xf numFmtId="3" fontId="11" fillId="4" borderId="24" xfId="0" applyNumberFormat="1" applyFont="1" applyFill="1" applyBorder="1" applyAlignment="1" applyProtection="1">
      <alignment horizontal="right" vertical="center"/>
      <protection hidden="1"/>
    </xf>
    <xf numFmtId="3" fontId="3" fillId="0" borderId="1" xfId="0" applyNumberFormat="1" applyFont="1" applyBorder="1" applyAlignment="1" applyProtection="1">
      <alignment horizontal="right"/>
      <protection hidden="1"/>
    </xf>
    <xf numFmtId="3" fontId="3" fillId="4" borderId="24" xfId="0" applyNumberFormat="1" applyFont="1" applyFill="1" applyBorder="1" applyAlignment="1" applyProtection="1">
      <alignment horizontal="left"/>
      <protection hidden="1"/>
    </xf>
    <xf numFmtId="3" fontId="11" fillId="4" borderId="20" xfId="0" applyNumberFormat="1" applyFont="1" applyFill="1" applyBorder="1" applyAlignment="1" applyProtection="1">
      <alignment horizontal="left" vertical="center"/>
      <protection hidden="1"/>
    </xf>
    <xf numFmtId="3" fontId="3" fillId="4" borderId="24" xfId="0" applyNumberFormat="1" applyFont="1" applyFill="1" applyBorder="1" applyAlignment="1">
      <alignment horizontal="left"/>
    </xf>
    <xf numFmtId="3" fontId="3" fillId="0" borderId="0" xfId="0" applyNumberFormat="1" applyFont="1" applyAlignment="1" applyProtection="1">
      <alignment horizontal="right"/>
      <protection hidden="1"/>
    </xf>
    <xf numFmtId="3" fontId="5" fillId="0" borderId="0" xfId="0" applyNumberFormat="1" applyFont="1" applyProtection="1">
      <protection hidden="1"/>
    </xf>
    <xf numFmtId="3" fontId="13" fillId="0" borderId="0" xfId="0" applyNumberFormat="1" applyFont="1" applyAlignment="1" applyProtection="1">
      <alignment horizontal="center" vertical="center"/>
      <protection hidden="1"/>
    </xf>
    <xf numFmtId="3" fontId="11" fillId="0" borderId="1" xfId="0" applyNumberFormat="1" applyFont="1" applyBorder="1" applyAlignment="1" applyProtection="1">
      <alignment horizontal="center"/>
      <protection hidden="1"/>
    </xf>
    <xf numFmtId="3" fontId="11" fillId="0" borderId="0" xfId="0" applyNumberFormat="1" applyFont="1" applyAlignment="1" applyProtection="1">
      <alignment horizontal="center" vertical="center"/>
      <protection hidden="1"/>
    </xf>
    <xf numFmtId="3" fontId="11" fillId="0" borderId="3" xfId="0" applyNumberFormat="1" applyFont="1" applyBorder="1" applyAlignment="1" applyProtection="1">
      <alignment horizontal="center" vertical="center"/>
      <protection hidden="1"/>
    </xf>
    <xf numFmtId="3" fontId="3" fillId="4" borderId="0" xfId="0" applyNumberFormat="1" applyFont="1" applyFill="1" applyAlignment="1" applyProtection="1">
      <alignment horizontal="left"/>
      <protection hidden="1"/>
    </xf>
    <xf numFmtId="3" fontId="3" fillId="0" borderId="0" xfId="0" applyNumberFormat="1" applyFont="1"/>
    <xf numFmtId="3" fontId="11" fillId="4" borderId="1" xfId="0" applyNumberFormat="1" applyFont="1" applyFill="1" applyBorder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3" fontId="3" fillId="0" borderId="0" xfId="0" applyNumberFormat="1" applyFont="1" applyAlignment="1" applyProtection="1">
      <alignment horizontal="left"/>
      <protection hidden="1"/>
    </xf>
    <xf numFmtId="3" fontId="11" fillId="0" borderId="1" xfId="0" applyNumberFormat="1" applyFont="1" applyBorder="1" applyAlignment="1" applyProtection="1">
      <alignment horizontal="center" vertical="center"/>
      <protection hidden="1"/>
    </xf>
    <xf numFmtId="3" fontId="13" fillId="0" borderId="0" xfId="0" applyNumberFormat="1" applyFont="1"/>
    <xf numFmtId="3" fontId="13" fillId="0" borderId="0" xfId="1" applyNumberFormat="1" applyFont="1"/>
    <xf numFmtId="3" fontId="3" fillId="0" borderId="1" xfId="0" applyNumberFormat="1" applyFont="1" applyBorder="1"/>
    <xf numFmtId="3" fontId="11" fillId="4" borderId="24" xfId="0" applyNumberFormat="1" applyFont="1" applyFill="1" applyBorder="1" applyAlignment="1" applyProtection="1">
      <alignment horizontal="left"/>
      <protection hidden="1"/>
    </xf>
    <xf numFmtId="3" fontId="3" fillId="0" borderId="0" xfId="0" applyNumberFormat="1" applyFont="1" applyAlignment="1" applyProtection="1">
      <alignment horizontal="center" vertical="center"/>
      <protection hidden="1"/>
    </xf>
    <xf numFmtId="3" fontId="3" fillId="0" borderId="3" xfId="0" applyNumberFormat="1" applyFont="1" applyBorder="1" applyAlignment="1" applyProtection="1">
      <alignment horizontal="center" vertical="center"/>
      <protection hidden="1"/>
    </xf>
    <xf numFmtId="3" fontId="11" fillId="7" borderId="0" xfId="0" applyNumberFormat="1" applyFont="1" applyFill="1" applyAlignment="1" applyProtection="1">
      <alignment horizontal="left"/>
      <protection hidden="1"/>
    </xf>
    <xf numFmtId="3" fontId="11" fillId="7" borderId="1" xfId="0" applyNumberFormat="1" applyFont="1" applyFill="1" applyBorder="1" applyAlignment="1">
      <alignment horizontal="left" vertical="center"/>
    </xf>
    <xf numFmtId="3" fontId="3" fillId="6" borderId="0" xfId="0" applyNumberFormat="1" applyFont="1" applyFill="1" applyAlignment="1" applyProtection="1">
      <alignment horizontal="left"/>
      <protection hidden="1"/>
    </xf>
    <xf numFmtId="3" fontId="3" fillId="0" borderId="1" xfId="0" applyNumberFormat="1" applyFont="1" applyBorder="1" applyAlignment="1" applyProtection="1">
      <alignment horizontal="center" vertical="center"/>
      <protection hidden="1"/>
    </xf>
    <xf numFmtId="3" fontId="3" fillId="7" borderId="0" xfId="0" applyNumberFormat="1" applyFont="1" applyFill="1" applyAlignment="1" applyProtection="1">
      <alignment horizontal="left"/>
      <protection hidden="1"/>
    </xf>
    <xf numFmtId="3" fontId="3" fillId="0" borderId="1" xfId="0" applyNumberFormat="1" applyFont="1" applyBorder="1" applyAlignment="1" applyProtection="1">
      <alignment horizontal="left"/>
      <protection hidden="1"/>
    </xf>
    <xf numFmtId="3" fontId="11" fillId="7" borderId="1" xfId="0" applyNumberFormat="1" applyFont="1" applyFill="1" applyBorder="1" applyAlignment="1" applyProtection="1">
      <alignment horizontal="left" vertical="center"/>
      <protection hidden="1"/>
    </xf>
    <xf numFmtId="3" fontId="3" fillId="7" borderId="0" xfId="0" applyNumberFormat="1" applyFont="1" applyFill="1" applyAlignment="1">
      <alignment horizontal="left"/>
    </xf>
    <xf numFmtId="3" fontId="12" fillId="0" borderId="0" xfId="1" applyNumberFormat="1" applyFont="1" applyProtection="1">
      <protection hidden="1"/>
    </xf>
    <xf numFmtId="3" fontId="3" fillId="5" borderId="0" xfId="0" applyNumberFormat="1" applyFont="1" applyFill="1" applyAlignment="1" applyProtection="1">
      <alignment horizontal="center" vertical="center"/>
      <protection locked="0" hidden="1"/>
    </xf>
    <xf numFmtId="3" fontId="3" fillId="0" borderId="3" xfId="0" applyNumberFormat="1" applyFont="1" applyBorder="1" applyAlignment="1" applyProtection="1">
      <alignment horizontal="center"/>
      <protection locked="0" hidden="1"/>
    </xf>
    <xf numFmtId="3" fontId="3" fillId="4" borderId="3" xfId="0" applyNumberFormat="1" applyFont="1" applyFill="1" applyBorder="1" applyAlignment="1" applyProtection="1">
      <alignment horizontal="center"/>
      <protection locked="0" hidden="1"/>
    </xf>
    <xf numFmtId="3" fontId="4" fillId="4" borderId="3" xfId="0" applyNumberFormat="1" applyFont="1" applyFill="1" applyBorder="1" applyAlignment="1" applyProtection="1">
      <alignment horizontal="center"/>
      <protection locked="0" hidden="1"/>
    </xf>
    <xf numFmtId="3" fontId="3" fillId="0" borderId="0" xfId="0" applyNumberFormat="1" applyFont="1" applyAlignment="1" applyProtection="1">
      <alignment horizontal="center"/>
      <protection locked="0" hidden="1"/>
    </xf>
    <xf numFmtId="3" fontId="3" fillId="4" borderId="0" xfId="0" applyNumberFormat="1" applyFont="1" applyFill="1" applyAlignment="1" applyProtection="1">
      <alignment horizontal="center"/>
      <protection locked="0" hidden="1"/>
    </xf>
    <xf numFmtId="3" fontId="4" fillId="4" borderId="0" xfId="0" applyNumberFormat="1" applyFont="1" applyFill="1" applyAlignment="1" applyProtection="1">
      <alignment horizontal="center"/>
      <protection locked="0" hidden="1"/>
    </xf>
    <xf numFmtId="3" fontId="3" fillId="4" borderId="0" xfId="0" applyNumberFormat="1" applyFont="1" applyFill="1" applyAlignment="1">
      <alignment horizontal="center"/>
    </xf>
    <xf numFmtId="3" fontId="4" fillId="4" borderId="14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 applyProtection="1">
      <alignment horizontal="center" vertical="center"/>
      <protection locked="0" hidden="1"/>
    </xf>
    <xf numFmtId="3" fontId="3" fillId="0" borderId="1" xfId="0" applyNumberFormat="1" applyFont="1" applyBorder="1" applyAlignment="1" applyProtection="1">
      <alignment horizontal="center"/>
      <protection locked="0" hidden="1"/>
    </xf>
    <xf numFmtId="3" fontId="3" fillId="4" borderId="1" xfId="0" applyNumberFormat="1" applyFont="1" applyFill="1" applyBorder="1" applyAlignment="1" applyProtection="1">
      <alignment horizontal="center"/>
      <protection locked="0" hidden="1"/>
    </xf>
    <xf numFmtId="3" fontId="4" fillId="4" borderId="1" xfId="0" applyNumberFormat="1" applyFont="1" applyFill="1" applyBorder="1" applyAlignment="1" applyProtection="1">
      <alignment horizontal="center"/>
      <protection locked="0" hidden="1"/>
    </xf>
    <xf numFmtId="6" fontId="16" fillId="0" borderId="5" xfId="0" applyNumberFormat="1" applyFont="1" applyBorder="1" applyProtection="1">
      <protection locked="0" hidden="1"/>
    </xf>
    <xf numFmtId="6" fontId="3" fillId="0" borderId="6" xfId="0" applyNumberFormat="1" applyFont="1" applyBorder="1" applyProtection="1">
      <protection hidden="1"/>
    </xf>
    <xf numFmtId="6" fontId="3" fillId="0" borderId="0" xfId="0" applyNumberFormat="1" applyFont="1" applyProtection="1">
      <protection hidden="1"/>
    </xf>
    <xf numFmtId="6" fontId="16" fillId="0" borderId="4" xfId="0" applyNumberFormat="1" applyFont="1" applyBorder="1" applyProtection="1">
      <protection locked="0" hidden="1"/>
    </xf>
    <xf numFmtId="6" fontId="15" fillId="0" borderId="5" xfId="0" applyNumberFormat="1" applyFont="1" applyBorder="1" applyProtection="1">
      <protection hidden="1"/>
    </xf>
    <xf numFmtId="167" fontId="11" fillId="7" borderId="24" xfId="0" applyNumberFormat="1" applyFont="1" applyFill="1" applyBorder="1" applyAlignment="1" applyProtection="1">
      <alignment horizontal="left"/>
      <protection hidden="1"/>
    </xf>
    <xf numFmtId="167" fontId="3" fillId="7" borderId="0" xfId="0" applyNumberFormat="1" applyFont="1" applyFill="1" applyAlignment="1">
      <alignment horizontal="left"/>
    </xf>
    <xf numFmtId="0" fontId="11" fillId="7" borderId="24" xfId="0" applyFont="1" applyFill="1" applyBorder="1" applyAlignment="1" applyProtection="1">
      <alignment horizontal="left"/>
      <protection hidden="1"/>
    </xf>
    <xf numFmtId="1" fontId="3" fillId="7" borderId="24" xfId="0" applyNumberFormat="1" applyFont="1" applyFill="1" applyBorder="1" applyAlignment="1" applyProtection="1">
      <alignment horizontal="left"/>
      <protection hidden="1"/>
    </xf>
    <xf numFmtId="1" fontId="3" fillId="7" borderId="0" xfId="0" applyNumberFormat="1" applyFont="1" applyFill="1" applyAlignment="1">
      <alignment horizontal="left"/>
    </xf>
    <xf numFmtId="10" fontId="11" fillId="7" borderId="24" xfId="0" applyNumberFormat="1" applyFont="1" applyFill="1" applyBorder="1" applyAlignment="1" applyProtection="1">
      <alignment horizontal="left"/>
      <protection hidden="1"/>
    </xf>
    <xf numFmtId="10" fontId="3" fillId="7" borderId="0" xfId="0" applyNumberFormat="1" applyFont="1" applyFill="1" applyAlignment="1">
      <alignment horizontal="left"/>
    </xf>
    <xf numFmtId="2" fontId="11" fillId="7" borderId="20" xfId="0" applyNumberFormat="1" applyFont="1" applyFill="1" applyBorder="1" applyAlignment="1" applyProtection="1">
      <alignment horizontal="left"/>
      <protection hidden="1"/>
    </xf>
    <xf numFmtId="2" fontId="11" fillId="7" borderId="1" xfId="0" applyNumberFormat="1" applyFont="1" applyFill="1" applyBorder="1" applyAlignment="1" applyProtection="1">
      <alignment horizontal="left"/>
      <protection hidden="1"/>
    </xf>
    <xf numFmtId="14" fontId="11" fillId="7" borderId="22" xfId="0" applyNumberFormat="1" applyFont="1" applyFill="1" applyBorder="1" applyAlignment="1" applyProtection="1">
      <alignment horizontal="left" vertical="center"/>
      <protection hidden="1"/>
    </xf>
    <xf numFmtId="0" fontId="11" fillId="7" borderId="3" xfId="0" applyFont="1" applyFill="1" applyBorder="1" applyAlignment="1">
      <alignment horizontal="left" vertical="center"/>
    </xf>
    <xf numFmtId="14" fontId="3" fillId="0" borderId="0" xfId="0" applyNumberFormat="1" applyFont="1" applyAlignment="1" applyProtection="1">
      <alignment horizontal="center"/>
      <protection hidden="1"/>
    </xf>
    <xf numFmtId="0" fontId="3" fillId="0" borderId="0" xfId="0" applyFont="1" applyAlignment="1">
      <alignment horizontal="center"/>
    </xf>
    <xf numFmtId="0" fontId="11" fillId="5" borderId="22" xfId="0" applyFont="1" applyFill="1" applyBorder="1" applyAlignment="1" applyProtection="1">
      <alignment horizontal="center"/>
      <protection hidden="1"/>
    </xf>
    <xf numFmtId="0" fontId="3" fillId="5" borderId="3" xfId="0" applyFont="1" applyFill="1" applyBorder="1" applyProtection="1">
      <protection hidden="1"/>
    </xf>
    <xf numFmtId="3" fontId="3" fillId="5" borderId="22" xfId="0" applyNumberFormat="1" applyFont="1" applyFill="1" applyBorder="1" applyAlignment="1" applyProtection="1">
      <alignment horizontal="center" vertical="center"/>
      <protection locked="0" hidden="1"/>
    </xf>
    <xf numFmtId="3" fontId="3" fillId="5" borderId="3" xfId="0" applyNumberFormat="1" applyFont="1" applyFill="1" applyBorder="1" applyAlignment="1" applyProtection="1">
      <alignment horizontal="center"/>
      <protection locked="0" hidden="1"/>
    </xf>
    <xf numFmtId="3" fontId="3" fillId="5" borderId="24" xfId="0" applyNumberFormat="1" applyFont="1" applyFill="1" applyBorder="1" applyAlignment="1" applyProtection="1">
      <alignment horizontal="center" vertical="center"/>
      <protection locked="0" hidden="1"/>
    </xf>
    <xf numFmtId="3" fontId="3" fillId="5" borderId="0" xfId="0" applyNumberFormat="1" applyFont="1" applyFill="1" applyAlignment="1" applyProtection="1">
      <alignment horizontal="center"/>
      <protection locked="0" hidden="1"/>
    </xf>
    <xf numFmtId="3" fontId="3" fillId="5" borderId="0" xfId="0" applyNumberFormat="1" applyFont="1" applyFill="1" applyAlignment="1">
      <alignment horizontal="center"/>
    </xf>
    <xf numFmtId="3" fontId="3" fillId="5" borderId="20" xfId="0" applyNumberFormat="1" applyFont="1" applyFill="1" applyBorder="1" applyAlignment="1" applyProtection="1">
      <alignment horizontal="center" vertical="center"/>
      <protection locked="0" hidden="1"/>
    </xf>
    <xf numFmtId="3" fontId="3" fillId="5" borderId="1" xfId="0" applyNumberFormat="1" applyFont="1" applyFill="1" applyBorder="1" applyAlignment="1" applyProtection="1">
      <alignment horizontal="center"/>
      <protection locked="0" hidden="1"/>
    </xf>
    <xf numFmtId="2" fontId="20" fillId="5" borderId="27" xfId="0" applyNumberFormat="1" applyFont="1" applyFill="1" applyBorder="1" applyAlignment="1" applyProtection="1">
      <alignment horizontal="center"/>
      <protection hidden="1"/>
    </xf>
    <xf numFmtId="2" fontId="20" fillId="5" borderId="0" xfId="0" applyNumberFormat="1" applyFont="1" applyFill="1" applyProtection="1">
      <protection hidden="1"/>
    </xf>
    <xf numFmtId="14" fontId="11" fillId="6" borderId="20" xfId="0" applyNumberFormat="1" applyFont="1" applyFill="1" applyBorder="1" applyAlignment="1" applyProtection="1">
      <alignment horizontal="left" vertical="center"/>
      <protection hidden="1"/>
    </xf>
    <xf numFmtId="0" fontId="11" fillId="6" borderId="1" xfId="0" applyFont="1" applyFill="1" applyBorder="1" applyAlignment="1">
      <alignment horizontal="left" vertical="center"/>
    </xf>
    <xf numFmtId="0" fontId="19" fillId="0" borderId="0" xfId="0" applyFont="1" applyProtection="1">
      <protection hidden="1"/>
    </xf>
    <xf numFmtId="3" fontId="11" fillId="4" borderId="24" xfId="0" applyNumberFormat="1" applyFont="1" applyFill="1" applyBorder="1" applyAlignment="1" applyProtection="1">
      <alignment horizontal="left"/>
      <protection hidden="1"/>
    </xf>
    <xf numFmtId="3" fontId="3" fillId="4" borderId="0" xfId="0" applyNumberFormat="1" applyFont="1" applyFill="1" applyAlignment="1">
      <alignment horizontal="left"/>
    </xf>
    <xf numFmtId="0" fontId="11" fillId="4" borderId="24" xfId="0" applyFont="1" applyFill="1" applyBorder="1" applyAlignment="1" applyProtection="1">
      <alignment horizontal="left"/>
      <protection hidden="1"/>
    </xf>
    <xf numFmtId="167" fontId="3" fillId="4" borderId="0" xfId="0" applyNumberFormat="1" applyFont="1" applyFill="1" applyAlignment="1">
      <alignment horizontal="left"/>
    </xf>
    <xf numFmtId="3" fontId="11" fillId="4" borderId="20" xfId="0" applyNumberFormat="1" applyFont="1" applyFill="1" applyBorder="1" applyAlignment="1" applyProtection="1">
      <alignment horizontal="left" vertical="center"/>
      <protection hidden="1"/>
    </xf>
    <xf numFmtId="3" fontId="11" fillId="4" borderId="1" xfId="0" applyNumberFormat="1" applyFont="1" applyFill="1" applyBorder="1" applyAlignment="1">
      <alignment horizontal="left" vertical="center"/>
    </xf>
    <xf numFmtId="0" fontId="11" fillId="7" borderId="20" xfId="0" applyFont="1" applyFill="1" applyBorder="1" applyAlignment="1" applyProtection="1">
      <alignment horizontal="left" vertical="center"/>
      <protection hidden="1"/>
    </xf>
    <xf numFmtId="0" fontId="11" fillId="7" borderId="1" xfId="0" applyFont="1" applyFill="1" applyBorder="1" applyAlignment="1">
      <alignment horizontal="left" vertical="center"/>
    </xf>
    <xf numFmtId="0" fontId="11" fillId="4" borderId="20" xfId="0" applyFont="1" applyFill="1" applyBorder="1" applyAlignment="1" applyProtection="1">
      <alignment horizontal="left" vertical="center"/>
      <protection hidden="1"/>
    </xf>
    <xf numFmtId="0" fontId="11" fillId="4" borderId="1" xfId="0" applyFont="1" applyFill="1" applyBorder="1" applyAlignment="1">
      <alignment horizontal="left" vertical="center"/>
    </xf>
    <xf numFmtId="3" fontId="11" fillId="7" borderId="3" xfId="0" applyNumberFormat="1" applyFont="1" applyFill="1" applyBorder="1" applyAlignment="1" applyProtection="1">
      <alignment horizontal="left" vertical="center"/>
      <protection hidden="1"/>
    </xf>
    <xf numFmtId="3" fontId="11" fillId="7" borderId="3" xfId="0" applyNumberFormat="1" applyFont="1" applyFill="1" applyBorder="1" applyAlignment="1">
      <alignment horizontal="left" vertical="center"/>
    </xf>
    <xf numFmtId="3" fontId="11" fillId="4" borderId="22" xfId="0" applyNumberFormat="1" applyFont="1" applyFill="1" applyBorder="1" applyAlignment="1" applyProtection="1">
      <alignment horizontal="left" vertical="center"/>
      <protection hidden="1"/>
    </xf>
    <xf numFmtId="3" fontId="11" fillId="4" borderId="3" xfId="0" applyNumberFormat="1" applyFont="1" applyFill="1" applyBorder="1" applyAlignment="1">
      <alignment horizontal="left" vertical="center"/>
    </xf>
    <xf numFmtId="0" fontId="11" fillId="7" borderId="22" xfId="0" applyFont="1" applyFill="1" applyBorder="1" applyAlignment="1" applyProtection="1">
      <alignment horizontal="left" vertical="center"/>
      <protection hidden="1"/>
    </xf>
    <xf numFmtId="0" fontId="11" fillId="4" borderId="22" xfId="0" applyFont="1" applyFill="1" applyBorder="1" applyAlignment="1" applyProtection="1">
      <alignment horizontal="left" vertical="center"/>
      <protection hidden="1"/>
    </xf>
    <xf numFmtId="0" fontId="11" fillId="4" borderId="3" xfId="0" applyFont="1" applyFill="1" applyBorder="1" applyAlignment="1">
      <alignment horizontal="left" vertical="center"/>
    </xf>
    <xf numFmtId="10" fontId="11" fillId="4" borderId="24" xfId="0" applyNumberFormat="1" applyFont="1" applyFill="1" applyBorder="1" applyAlignment="1" applyProtection="1">
      <alignment horizontal="left"/>
      <protection hidden="1"/>
    </xf>
    <xf numFmtId="10" fontId="3" fillId="4" borderId="0" xfId="0" applyNumberFormat="1" applyFont="1" applyFill="1" applyAlignment="1">
      <alignment horizontal="left"/>
    </xf>
    <xf numFmtId="3" fontId="11" fillId="7" borderId="1" xfId="0" applyNumberFormat="1" applyFont="1" applyFill="1" applyBorder="1" applyAlignment="1" applyProtection="1">
      <alignment horizontal="left"/>
      <protection hidden="1"/>
    </xf>
    <xf numFmtId="3" fontId="11" fillId="4" borderId="20" xfId="0" applyNumberFormat="1" applyFont="1" applyFill="1" applyBorder="1" applyAlignment="1" applyProtection="1">
      <alignment horizontal="left"/>
      <protection hidden="1"/>
    </xf>
    <xf numFmtId="3" fontId="11" fillId="4" borderId="1" xfId="0" applyNumberFormat="1" applyFont="1" applyFill="1" applyBorder="1" applyAlignment="1" applyProtection="1">
      <alignment horizontal="left"/>
      <protection hidden="1"/>
    </xf>
    <xf numFmtId="2" fontId="11" fillId="4" borderId="20" xfId="0" applyNumberFormat="1" applyFont="1" applyFill="1" applyBorder="1" applyAlignment="1" applyProtection="1">
      <alignment horizontal="left"/>
      <protection hidden="1"/>
    </xf>
    <xf numFmtId="2" fontId="11" fillId="4" borderId="1" xfId="0" applyNumberFormat="1" applyFont="1" applyFill="1" applyBorder="1" applyAlignment="1" applyProtection="1">
      <alignment horizontal="left"/>
      <protection hidden="1"/>
    </xf>
    <xf numFmtId="3" fontId="3" fillId="5" borderId="0" xfId="0" applyNumberFormat="1" applyFont="1" applyFill="1" applyAlignment="1" applyProtection="1">
      <alignment horizontal="center" vertical="center"/>
      <protection locked="0" hidden="1"/>
    </xf>
    <xf numFmtId="3" fontId="3" fillId="0" borderId="0" xfId="0" applyNumberFormat="1" applyFont="1" applyAlignment="1">
      <alignment horizontal="center"/>
    </xf>
    <xf numFmtId="3" fontId="3" fillId="5" borderId="1" xfId="0" applyNumberFormat="1" applyFont="1" applyFill="1" applyBorder="1" applyAlignment="1" applyProtection="1">
      <alignment horizontal="center" vertical="center"/>
      <protection locked="0" hidden="1"/>
    </xf>
    <xf numFmtId="3" fontId="3" fillId="0" borderId="1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3" fontId="3" fillId="4" borderId="24" xfId="0" applyNumberFormat="1" applyFont="1" applyFill="1" applyBorder="1" applyAlignment="1" applyProtection="1">
      <alignment horizontal="center" vertical="center"/>
      <protection locked="0" hidden="1"/>
    </xf>
    <xf numFmtId="3" fontId="3" fillId="4" borderId="0" xfId="0" applyNumberFormat="1" applyFont="1" applyFill="1" applyAlignment="1" applyProtection="1">
      <alignment horizontal="center"/>
      <protection locked="0" hidden="1"/>
    </xf>
    <xf numFmtId="0" fontId="12" fillId="3" borderId="0" xfId="0" applyFont="1" applyFill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13" fillId="3" borderId="0" xfId="0" applyFont="1" applyFill="1"/>
    <xf numFmtId="3" fontId="11" fillId="7" borderId="3" xfId="0" applyNumberFormat="1" applyFont="1" applyFill="1" applyBorder="1" applyAlignment="1" applyProtection="1">
      <alignment horizontal="left"/>
      <protection hidden="1"/>
    </xf>
    <xf numFmtId="3" fontId="11" fillId="7" borderId="0" xfId="0" applyNumberFormat="1" applyFont="1" applyFill="1" applyAlignment="1" applyProtection="1">
      <alignment horizontal="left"/>
      <protection hidden="1"/>
    </xf>
    <xf numFmtId="167" fontId="11" fillId="4" borderId="24" xfId="0" applyNumberFormat="1" applyFont="1" applyFill="1" applyBorder="1" applyAlignment="1" applyProtection="1">
      <alignment horizontal="left"/>
      <protection hidden="1"/>
    </xf>
    <xf numFmtId="0" fontId="3" fillId="7" borderId="24" xfId="0" applyFont="1" applyFill="1" applyBorder="1" applyAlignment="1" applyProtection="1">
      <alignment horizontal="left"/>
      <protection hidden="1"/>
    </xf>
    <xf numFmtId="0" fontId="3" fillId="7" borderId="0" xfId="0" applyFont="1" applyFill="1" applyAlignment="1">
      <alignment horizontal="left"/>
    </xf>
    <xf numFmtId="0" fontId="3" fillId="4" borderId="24" xfId="0" applyFont="1" applyFill="1" applyBorder="1" applyAlignment="1" applyProtection="1">
      <alignment horizontal="left"/>
      <protection hidden="1"/>
    </xf>
    <xf numFmtId="0" fontId="3" fillId="4" borderId="0" xfId="0" applyFont="1" applyFill="1" applyAlignment="1">
      <alignment horizontal="left"/>
    </xf>
    <xf numFmtId="0" fontId="3" fillId="0" borderId="0" xfId="0" applyFont="1"/>
    <xf numFmtId="3" fontId="11" fillId="7" borderId="2" xfId="0" applyNumberFormat="1" applyFont="1" applyFill="1" applyBorder="1" applyAlignment="1" applyProtection="1">
      <alignment horizontal="left" vertical="center"/>
      <protection hidden="1"/>
    </xf>
    <xf numFmtId="0" fontId="11" fillId="0" borderId="3" xfId="0" applyFont="1" applyBorder="1" applyAlignment="1" applyProtection="1">
      <alignment vertical="top" wrapText="1"/>
      <protection hidden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3" fontId="20" fillId="5" borderId="24" xfId="0" applyNumberFormat="1" applyFont="1" applyFill="1" applyBorder="1" applyAlignment="1" applyProtection="1">
      <alignment horizontal="center"/>
      <protection hidden="1"/>
    </xf>
    <xf numFmtId="3" fontId="11" fillId="0" borderId="0" xfId="0" applyNumberFormat="1" applyFon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/>
      <protection hidden="1"/>
    </xf>
    <xf numFmtId="2" fontId="20" fillId="4" borderId="24" xfId="0" applyNumberFormat="1" applyFont="1" applyFill="1" applyBorder="1" applyAlignment="1" applyProtection="1">
      <alignment horizontal="center"/>
      <protection hidden="1"/>
    </xf>
    <xf numFmtId="2" fontId="20" fillId="4" borderId="0" xfId="0" applyNumberFormat="1" applyFont="1" applyFill="1" applyAlignment="1" applyProtection="1">
      <alignment horizontal="center"/>
      <protection hidden="1"/>
    </xf>
    <xf numFmtId="0" fontId="3" fillId="4" borderId="0" xfId="0" applyFont="1" applyFill="1" applyAlignment="1" applyProtection="1">
      <alignment horizontal="center"/>
      <protection hidden="1"/>
    </xf>
    <xf numFmtId="3" fontId="3" fillId="4" borderId="20" xfId="0" applyNumberFormat="1" applyFont="1" applyFill="1" applyBorder="1" applyAlignment="1" applyProtection="1">
      <alignment horizontal="center" vertical="center"/>
      <protection locked="0" hidden="1"/>
    </xf>
    <xf numFmtId="3" fontId="3" fillId="4" borderId="1" xfId="0" applyNumberFormat="1" applyFont="1" applyFill="1" applyBorder="1" applyAlignment="1" applyProtection="1">
      <alignment horizontal="center"/>
      <protection locked="0" hidden="1"/>
    </xf>
    <xf numFmtId="0" fontId="11" fillId="0" borderId="0" xfId="0" applyFont="1" applyAlignment="1" applyProtection="1">
      <alignment horizontal="right"/>
      <protection hidden="1"/>
    </xf>
    <xf numFmtId="3" fontId="11" fillId="5" borderId="3" xfId="0" applyNumberFormat="1" applyFont="1" applyFill="1" applyBorder="1" applyAlignment="1" applyProtection="1">
      <alignment horizontal="center" vertical="center"/>
      <protection hidden="1"/>
    </xf>
    <xf numFmtId="3" fontId="3" fillId="0" borderId="3" xfId="0" applyNumberFormat="1" applyFont="1" applyBorder="1" applyAlignment="1">
      <alignment horizontal="center"/>
    </xf>
    <xf numFmtId="3" fontId="11" fillId="4" borderId="22" xfId="0" applyNumberFormat="1" applyFont="1" applyFill="1" applyBorder="1" applyAlignment="1" applyProtection="1">
      <alignment horizontal="right" vertical="center"/>
      <protection hidden="1"/>
    </xf>
    <xf numFmtId="3" fontId="11" fillId="4" borderId="3" xfId="0" applyNumberFormat="1" applyFont="1" applyFill="1" applyBorder="1" applyAlignment="1" applyProtection="1">
      <alignment horizontal="right" vertical="center"/>
      <protection hidden="1"/>
    </xf>
    <xf numFmtId="3" fontId="3" fillId="4" borderId="0" xfId="0" applyNumberFormat="1" applyFont="1" applyFill="1" applyAlignment="1">
      <alignment horizontal="center"/>
    </xf>
    <xf numFmtId="3" fontId="11" fillId="0" borderId="1" xfId="0" applyNumberFormat="1" applyFont="1" applyBorder="1" applyAlignment="1" applyProtection="1">
      <alignment horizontal="center" vertical="center"/>
      <protection hidden="1"/>
    </xf>
    <xf numFmtId="3" fontId="3" fillId="0" borderId="1" xfId="0" applyNumberFormat="1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3" fontId="3" fillId="4" borderId="22" xfId="0" applyNumberFormat="1" applyFont="1" applyFill="1" applyBorder="1" applyAlignment="1" applyProtection="1">
      <alignment horizontal="center" vertical="center"/>
      <protection locked="0" hidden="1"/>
    </xf>
    <xf numFmtId="3" fontId="3" fillId="4" borderId="3" xfId="0" applyNumberFormat="1" applyFont="1" applyFill="1" applyBorder="1" applyAlignment="1" applyProtection="1">
      <alignment horizontal="center"/>
      <protection locked="0" hidden="1"/>
    </xf>
    <xf numFmtId="3" fontId="17" fillId="5" borderId="0" xfId="0" applyNumberFormat="1" applyFont="1" applyFill="1" applyAlignment="1" applyProtection="1">
      <alignment horizontal="right"/>
      <protection hidden="1"/>
    </xf>
    <xf numFmtId="3" fontId="17" fillId="4" borderId="24" xfId="0" applyNumberFormat="1" applyFont="1" applyFill="1" applyBorder="1" applyProtection="1">
      <protection hidden="1"/>
    </xf>
    <xf numFmtId="3" fontId="17" fillId="4" borderId="0" xfId="0" applyNumberFormat="1" applyFont="1" applyFill="1" applyProtection="1">
      <protection hidden="1"/>
    </xf>
    <xf numFmtId="0" fontId="13" fillId="3" borderId="0" xfId="0" applyFont="1" applyFill="1" applyAlignment="1" applyProtection="1">
      <alignment wrapText="1"/>
      <protection hidden="1"/>
    </xf>
    <xf numFmtId="0" fontId="13" fillId="3" borderId="0" xfId="0" applyFont="1" applyFill="1" applyAlignment="1">
      <alignment wrapText="1"/>
    </xf>
    <xf numFmtId="3" fontId="9" fillId="5" borderId="24" xfId="0" applyNumberFormat="1" applyFont="1" applyFill="1" applyBorder="1" applyAlignment="1" applyProtection="1">
      <alignment horizontal="center"/>
      <protection hidden="1"/>
    </xf>
    <xf numFmtId="3" fontId="9" fillId="5" borderId="0" xfId="0" applyNumberFormat="1" applyFont="1" applyFill="1" applyAlignment="1" applyProtection="1">
      <alignment horizontal="center"/>
      <protection hidden="1"/>
    </xf>
    <xf numFmtId="3" fontId="9" fillId="4" borderId="24" xfId="0" applyNumberFormat="1" applyFont="1" applyFill="1" applyBorder="1" applyAlignment="1" applyProtection="1">
      <alignment horizontal="center"/>
      <protection hidden="1"/>
    </xf>
    <xf numFmtId="3" fontId="9" fillId="4" borderId="0" xfId="0" applyNumberFormat="1" applyFont="1" applyFill="1" applyAlignment="1" applyProtection="1">
      <alignment horizontal="center"/>
      <protection hidden="1"/>
    </xf>
    <xf numFmtId="3" fontId="4" fillId="5" borderId="11" xfId="0" applyNumberFormat="1" applyFont="1" applyFill="1" applyBorder="1" applyAlignment="1" applyProtection="1">
      <alignment horizontal="right"/>
      <protection locked="0" hidden="1"/>
    </xf>
    <xf numFmtId="3" fontId="4" fillId="4" borderId="24" xfId="0" applyNumberFormat="1" applyFont="1" applyFill="1" applyBorder="1" applyAlignment="1" applyProtection="1">
      <alignment horizontal="right"/>
      <protection locked="0" hidden="1"/>
    </xf>
    <xf numFmtId="3" fontId="4" fillId="4" borderId="0" xfId="0" applyNumberFormat="1" applyFont="1" applyFill="1" applyAlignment="1" applyProtection="1">
      <alignment horizontal="right"/>
      <protection locked="0" hidden="1"/>
    </xf>
    <xf numFmtId="3" fontId="4" fillId="5" borderId="9" xfId="0" applyNumberFormat="1" applyFont="1" applyFill="1" applyBorder="1" applyAlignment="1" applyProtection="1">
      <alignment horizontal="right"/>
      <protection locked="0" hidden="1"/>
    </xf>
    <xf numFmtId="3" fontId="4" fillId="4" borderId="8" xfId="0" applyNumberFormat="1" applyFont="1" applyFill="1" applyBorder="1" applyAlignment="1" applyProtection="1">
      <alignment horizontal="right"/>
      <protection locked="0" hidden="1"/>
    </xf>
    <xf numFmtId="3" fontId="4" fillId="4" borderId="9" xfId="0" applyNumberFormat="1" applyFont="1" applyFill="1" applyBorder="1" applyAlignment="1" applyProtection="1">
      <alignment horizontal="right"/>
      <protection locked="0" hidden="1"/>
    </xf>
    <xf numFmtId="0" fontId="2" fillId="0" borderId="9" xfId="0" applyFont="1" applyBorder="1" applyProtection="1">
      <protection hidden="1"/>
    </xf>
    <xf numFmtId="0" fontId="4" fillId="0" borderId="10" xfId="0" applyFont="1" applyBorder="1" applyProtection="1">
      <protection hidden="1"/>
    </xf>
    <xf numFmtId="3" fontId="4" fillId="4" borderId="23" xfId="0" applyNumberFormat="1" applyFont="1" applyFill="1" applyBorder="1" applyAlignment="1" applyProtection="1">
      <alignment horizontal="right"/>
      <protection locked="0" hidden="1"/>
    </xf>
    <xf numFmtId="3" fontId="4" fillId="4" borderId="11" xfId="0" applyNumberFormat="1" applyFont="1" applyFill="1" applyBorder="1" applyAlignment="1" applyProtection="1">
      <alignment horizontal="right"/>
      <protection locked="0" hidden="1"/>
    </xf>
    <xf numFmtId="3" fontId="4" fillId="5" borderId="24" xfId="0" applyNumberFormat="1" applyFont="1" applyFill="1" applyBorder="1" applyAlignment="1" applyProtection="1">
      <alignment horizontal="right"/>
      <protection locked="0" hidden="1"/>
    </xf>
    <xf numFmtId="3" fontId="3" fillId="5" borderId="0" xfId="0" applyNumberFormat="1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3" fontId="6" fillId="5" borderId="0" xfId="0" applyNumberFormat="1" applyFont="1" applyFill="1" applyProtection="1">
      <protection hidden="1"/>
    </xf>
    <xf numFmtId="3" fontId="6" fillId="4" borderId="24" xfId="0" applyNumberFormat="1" applyFont="1" applyFill="1" applyBorder="1" applyProtection="1">
      <protection hidden="1"/>
    </xf>
    <xf numFmtId="3" fontId="6" fillId="4" borderId="0" xfId="0" applyNumberFormat="1" applyFont="1" applyFill="1" applyProtection="1">
      <protection hidden="1"/>
    </xf>
    <xf numFmtId="3" fontId="4" fillId="5" borderId="1" xfId="0" applyNumberFormat="1" applyFont="1" applyFill="1" applyBorder="1" applyAlignment="1" applyProtection="1">
      <alignment horizontal="right"/>
      <protection locked="0" hidden="1"/>
    </xf>
    <xf numFmtId="3" fontId="4" fillId="4" borderId="26" xfId="0" applyNumberFormat="1" applyFont="1" applyFill="1" applyBorder="1" applyAlignment="1" applyProtection="1">
      <alignment horizontal="right"/>
      <protection locked="0" hidden="1"/>
    </xf>
    <xf numFmtId="3" fontId="4" fillId="4" borderId="13" xfId="0" applyNumberFormat="1" applyFont="1" applyFill="1" applyBorder="1" applyAlignment="1" applyProtection="1">
      <alignment horizontal="right"/>
      <protection locked="0" hidden="1"/>
    </xf>
    <xf numFmtId="3" fontId="11" fillId="0" borderId="0" xfId="0" applyNumberFormat="1" applyFont="1" applyAlignment="1" applyProtection="1">
      <alignment horizontal="center"/>
      <protection hidden="1"/>
    </xf>
    <xf numFmtId="3" fontId="4" fillId="5" borderId="0" xfId="0" applyNumberFormat="1" applyFont="1" applyFill="1" applyAlignment="1" applyProtection="1">
      <alignment horizontal="right"/>
      <protection hidden="1"/>
    </xf>
    <xf numFmtId="3" fontId="4" fillId="4" borderId="25" xfId="0" applyNumberFormat="1" applyFont="1" applyFill="1" applyBorder="1" applyAlignment="1" applyProtection="1">
      <alignment horizontal="right"/>
      <protection hidden="1"/>
    </xf>
    <xf numFmtId="3" fontId="4" fillId="4" borderId="12" xfId="0" applyNumberFormat="1" applyFont="1" applyFill="1" applyBorder="1" applyAlignment="1" applyProtection="1">
      <alignment horizontal="right"/>
      <protection hidden="1"/>
    </xf>
    <xf numFmtId="3" fontId="4" fillId="5" borderId="0" xfId="0" applyNumberFormat="1" applyFont="1" applyFill="1" applyAlignment="1" applyProtection="1">
      <alignment horizontal="right"/>
      <protection locked="0" hidden="1"/>
    </xf>
    <xf numFmtId="3" fontId="4" fillId="5" borderId="23" xfId="0" applyNumberFormat="1" applyFont="1" applyFill="1" applyBorder="1" applyAlignment="1" applyProtection="1">
      <alignment horizontal="right"/>
      <protection locked="0" hidden="1"/>
    </xf>
    <xf numFmtId="3" fontId="4" fillId="5" borderId="22" xfId="0" applyNumberFormat="1" applyFont="1" applyFill="1" applyBorder="1" applyAlignment="1" applyProtection="1">
      <alignment horizontal="right"/>
      <protection locked="0" hidden="1"/>
    </xf>
    <xf numFmtId="3" fontId="4" fillId="5" borderId="3" xfId="0" applyNumberFormat="1" applyFont="1" applyFill="1" applyBorder="1" applyAlignment="1" applyProtection="1">
      <alignment horizontal="right"/>
      <protection locked="0" hidden="1"/>
    </xf>
    <xf numFmtId="3" fontId="4" fillId="5" borderId="9" xfId="0" applyNumberFormat="1" applyFont="1" applyFill="1" applyBorder="1" applyProtection="1">
      <protection locked="0" hidden="1"/>
    </xf>
    <xf numFmtId="3" fontId="4" fillId="4" borderId="8" xfId="0" applyNumberFormat="1" applyFont="1" applyFill="1" applyBorder="1" applyProtection="1">
      <protection locked="0" hidden="1"/>
    </xf>
    <xf numFmtId="3" fontId="4" fillId="4" borderId="9" xfId="0" applyNumberFormat="1" applyFont="1" applyFill="1" applyBorder="1" applyProtection="1">
      <protection locked="0" hidden="1"/>
    </xf>
    <xf numFmtId="0" fontId="12" fillId="3" borderId="3" xfId="0" applyFont="1" applyFill="1" applyBorder="1" applyAlignment="1" applyProtection="1">
      <alignment horizontal="center" vertical="center"/>
      <protection hidden="1"/>
    </xf>
    <xf numFmtId="0" fontId="13" fillId="3" borderId="3" xfId="0" applyFont="1" applyFill="1" applyBorder="1" applyAlignment="1" applyProtection="1">
      <alignment vertical="center"/>
      <protection hidden="1"/>
    </xf>
    <xf numFmtId="0" fontId="13" fillId="3" borderId="3" xfId="0" applyFont="1" applyFill="1" applyBorder="1" applyAlignment="1">
      <alignment vertical="center"/>
    </xf>
    <xf numFmtId="0" fontId="12" fillId="3" borderId="1" xfId="0" applyFont="1" applyFill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1" xfId="0" applyFont="1" applyFill="1" applyBorder="1" applyAlignment="1">
      <alignment vertical="center"/>
    </xf>
    <xf numFmtId="0" fontId="11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3" fillId="0" borderId="0" xfId="0" applyFont="1" applyProtection="1">
      <protection locked="0" hidden="1"/>
    </xf>
    <xf numFmtId="0" fontId="11" fillId="0" borderId="0" xfId="0" applyFont="1" applyProtection="1">
      <protection locked="0" hidden="1"/>
    </xf>
    <xf numFmtId="3" fontId="2" fillId="0" borderId="2" xfId="0" applyNumberFormat="1" applyFont="1" applyBorder="1" applyAlignment="1" applyProtection="1">
      <alignment horizontal="center"/>
      <protection hidden="1"/>
    </xf>
    <xf numFmtId="3" fontId="2" fillId="0" borderId="21" xfId="0" applyNumberFormat="1" applyFont="1" applyBorder="1" applyAlignment="1" applyProtection="1">
      <alignment horizontal="center"/>
      <protection hidden="1"/>
    </xf>
    <xf numFmtId="3" fontId="3" fillId="5" borderId="3" xfId="0" applyNumberFormat="1" applyFont="1" applyFill="1" applyBorder="1" applyProtection="1">
      <protection locked="0" hidden="1"/>
    </xf>
    <xf numFmtId="3" fontId="3" fillId="4" borderId="22" xfId="0" applyNumberFormat="1" applyFont="1" applyFill="1" applyBorder="1" applyProtection="1">
      <protection locked="0" hidden="1"/>
    </xf>
    <xf numFmtId="3" fontId="3" fillId="4" borderId="3" xfId="0" applyNumberFormat="1" applyFont="1" applyFill="1" applyBorder="1" applyProtection="1">
      <protection locked="0" hidden="1"/>
    </xf>
    <xf numFmtId="0" fontId="11" fillId="5" borderId="3" xfId="0" applyFont="1" applyFill="1" applyBorder="1" applyAlignment="1" applyProtection="1">
      <alignment horizontal="center"/>
      <protection locked="0" hidden="1"/>
    </xf>
    <xf numFmtId="0" fontId="11" fillId="4" borderId="22" xfId="0" applyFont="1" applyFill="1" applyBorder="1" applyAlignment="1" applyProtection="1">
      <alignment horizontal="center"/>
      <protection hidden="1"/>
    </xf>
    <xf numFmtId="0" fontId="11" fillId="4" borderId="3" xfId="0" applyFont="1" applyFill="1" applyBorder="1" applyAlignment="1" applyProtection="1">
      <alignment horizontal="center"/>
      <protection hidden="1"/>
    </xf>
    <xf numFmtId="3" fontId="4" fillId="4" borderId="22" xfId="0" applyNumberFormat="1" applyFont="1" applyFill="1" applyBorder="1" applyAlignment="1" applyProtection="1">
      <alignment horizontal="right"/>
      <protection locked="0" hidden="1"/>
    </xf>
    <xf numFmtId="3" fontId="4" fillId="4" borderId="3" xfId="0" applyNumberFormat="1" applyFont="1" applyFill="1" applyBorder="1" applyAlignment="1" applyProtection="1">
      <alignment horizontal="right"/>
      <protection locked="0" hidden="1"/>
    </xf>
    <xf numFmtId="0" fontId="11" fillId="5" borderId="2" xfId="0" applyFont="1" applyFill="1" applyBorder="1" applyAlignment="1" applyProtection="1">
      <alignment horizontal="center"/>
      <protection locked="0" hidden="1"/>
    </xf>
    <xf numFmtId="0" fontId="3" fillId="5" borderId="2" xfId="0" applyFont="1" applyFill="1" applyBorder="1" applyAlignment="1" applyProtection="1">
      <alignment horizontal="center"/>
      <protection locked="0" hidden="1"/>
    </xf>
    <xf numFmtId="0" fontId="11" fillId="4" borderId="21" xfId="0" applyFont="1" applyFill="1" applyBorder="1" applyAlignment="1" applyProtection="1">
      <alignment horizontal="center"/>
      <protection hidden="1"/>
    </xf>
    <xf numFmtId="0" fontId="11" fillId="4" borderId="2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3" fontId="4" fillId="5" borderId="1" xfId="0" applyNumberFormat="1" applyFont="1" applyFill="1" applyBorder="1" applyProtection="1">
      <protection locked="0" hidden="1"/>
    </xf>
    <xf numFmtId="3" fontId="4" fillId="4" borderId="20" xfId="0" applyNumberFormat="1" applyFont="1" applyFill="1" applyBorder="1" applyProtection="1">
      <protection locked="0" hidden="1"/>
    </xf>
    <xf numFmtId="3" fontId="4" fillId="4" borderId="1" xfId="0" applyNumberFormat="1" applyFont="1" applyFill="1" applyBorder="1" applyProtection="1">
      <protection locked="0" hidden="1"/>
    </xf>
    <xf numFmtId="3" fontId="4" fillId="5" borderId="11" xfId="0" applyNumberFormat="1" applyFont="1" applyFill="1" applyBorder="1" applyProtection="1">
      <protection locked="0" hidden="1"/>
    </xf>
    <xf numFmtId="3" fontId="4" fillId="4" borderId="23" xfId="0" applyNumberFormat="1" applyFont="1" applyFill="1" applyBorder="1" applyProtection="1">
      <protection locked="0" hidden="1"/>
    </xf>
    <xf numFmtId="3" fontId="4" fillId="4" borderId="11" xfId="0" applyNumberFormat="1" applyFont="1" applyFill="1" applyBorder="1" applyProtection="1">
      <protection locked="0" hidden="1"/>
    </xf>
  </cellXfs>
  <cellStyles count="2">
    <cellStyle name="Normale" xfId="0" builtinId="0"/>
    <cellStyle name="Percentuale" xfId="1" builtinId="5"/>
  </cellStyles>
  <dxfs count="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1E7A1"/>
      <color rgb="FFF0EA9A"/>
      <color rgb="FF284472"/>
      <color rgb="FF008000"/>
      <color rgb="FFEEE1A8"/>
      <color rgb="FF009E47"/>
      <color rgb="FFF8EFC8"/>
      <color rgb="FFE9D88F"/>
      <color rgb="FFF6DC7E"/>
      <color rgb="FFF6D2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ANDAMENTO DEL mol</a:t>
            </a:r>
          </a:p>
        </c:rich>
      </c:tx>
      <c:layout>
        <c:manualLayout>
          <c:xMode val="edge"/>
          <c:yMode val="edge"/>
          <c:x val="0.2682499999999999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084948027578071E-2"/>
          <c:y val="0.20981571422296205"/>
          <c:w val="0.87364231760065536"/>
          <c:h val="0.70708381957177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Studio!$C$93</c:f>
              <c:strCache>
                <c:ptCount val="1"/>
                <c:pt idx="0">
                  <c:v>MOL stimato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>
                <a:schemeClr val="accent1"/>
              </a:innerShdw>
            </a:effectLst>
          </c:spPr>
          <c:invertIfNegative val="0"/>
          <c:cat>
            <c:strRef>
              <c:f>Studio!$D$92:$I$92</c:f>
              <c:strCache>
                <c:ptCount val="5"/>
                <c:pt idx="0">
                  <c:v>2.022</c:v>
                </c:pt>
                <c:pt idx="1">
                  <c:v>2.023</c:v>
                </c:pt>
                <c:pt idx="2">
                  <c:v>2024</c:v>
                </c:pt>
                <c:pt idx="3">
                  <c:v>2.025</c:v>
                </c:pt>
                <c:pt idx="4">
                  <c:v>2026 - previsione</c:v>
                </c:pt>
              </c:strCache>
            </c:strRef>
          </c:cat>
          <c:val>
            <c:numRef>
              <c:f>Studio!$D$93:$I$93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 formatCode="0.0%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9-40FB-A989-45AD9379A609}"/>
            </c:ext>
          </c:extLst>
        </c:ser>
        <c:ser>
          <c:idx val="1"/>
          <c:order val="1"/>
          <c:tx>
            <c:strRef>
              <c:f>Studio!$C$94</c:f>
              <c:strCache>
                <c:ptCount val="1"/>
                <c:pt idx="0">
                  <c:v>MOL best</c:v>
                </c:pt>
              </c:strCache>
            </c:strRef>
          </c:tx>
          <c:spPr>
            <a:pattFill prst="narHorz">
              <a:fgClr>
                <a:srgbClr val="008000"/>
              </a:fgClr>
              <a:bgClr>
                <a:schemeClr val="bg1"/>
              </a:bgClr>
            </a:pattFill>
            <a:ln>
              <a:solidFill>
                <a:srgbClr val="008000"/>
              </a:solidFill>
            </a:ln>
            <a:effectLst>
              <a:innerShdw>
                <a:srgbClr val="008000"/>
              </a:innerShdw>
            </a:effectLst>
          </c:spPr>
          <c:invertIfNegative val="0"/>
          <c:cat>
            <c:strRef>
              <c:f>Studio!$D$92:$I$92</c:f>
              <c:strCache>
                <c:ptCount val="5"/>
                <c:pt idx="0">
                  <c:v>2.022</c:v>
                </c:pt>
                <c:pt idx="1">
                  <c:v>2.023</c:v>
                </c:pt>
                <c:pt idx="2">
                  <c:v>2024</c:v>
                </c:pt>
                <c:pt idx="3">
                  <c:v>2.025</c:v>
                </c:pt>
                <c:pt idx="4">
                  <c:v>2026 - previsione</c:v>
                </c:pt>
              </c:strCache>
            </c:strRef>
          </c:cat>
          <c:val>
            <c:numRef>
              <c:f>Studio!$D$94:$I$94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 formatCode="0.0%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9-40FB-A989-45AD9379A609}"/>
            </c:ext>
          </c:extLst>
        </c:ser>
        <c:ser>
          <c:idx val="2"/>
          <c:order val="2"/>
          <c:tx>
            <c:strRef>
              <c:f>Studio!$C$95</c:f>
              <c:strCache>
                <c:ptCount val="1"/>
                <c:pt idx="0">
                  <c:v>MOL wrost</c:v>
                </c:pt>
              </c:strCache>
            </c:strRef>
          </c:tx>
          <c:spPr>
            <a:pattFill prst="narHorz">
              <a:fgClr>
                <a:srgbClr val="C00000"/>
              </a:fgClr>
              <a:bgClr>
                <a:schemeClr val="bg1"/>
              </a:bgClr>
            </a:pattFill>
            <a:ln>
              <a:solidFill>
                <a:srgbClr val="C00000"/>
              </a:solidFill>
            </a:ln>
            <a:effectLst>
              <a:innerShdw>
                <a:srgbClr val="C00000"/>
              </a:innerShdw>
            </a:effectLst>
          </c:spPr>
          <c:invertIfNegative val="0"/>
          <c:cat>
            <c:strRef>
              <c:f>Studio!$D$92:$I$92</c:f>
              <c:strCache>
                <c:ptCount val="5"/>
                <c:pt idx="0">
                  <c:v>2.022</c:v>
                </c:pt>
                <c:pt idx="1">
                  <c:v>2.023</c:v>
                </c:pt>
                <c:pt idx="2">
                  <c:v>2024</c:v>
                </c:pt>
                <c:pt idx="3">
                  <c:v>2.025</c:v>
                </c:pt>
                <c:pt idx="4">
                  <c:v>2026 - previsione</c:v>
                </c:pt>
              </c:strCache>
            </c:strRef>
          </c:cat>
          <c:val>
            <c:numRef>
              <c:f>Studio!$D$95:$I$95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 formatCode="0.0%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99-40FB-A989-45AD9379A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96431768"/>
        <c:axId val="896435368"/>
      </c:barChart>
      <c:catAx>
        <c:axId val="89643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6435368"/>
        <c:crosses val="autoZero"/>
        <c:auto val="1"/>
        <c:lblAlgn val="ctr"/>
        <c:lblOffset val="100"/>
        <c:noMultiLvlLbl val="0"/>
      </c:catAx>
      <c:valAx>
        <c:axId val="8964353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643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853565179352581"/>
          <c:y val="0.11562518226888306"/>
          <c:w val="0.45385383063807655"/>
          <c:h val="6.5832717183858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ANDAMENTO DEL DSCR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926678233017477E-2"/>
          <c:y val="0.26545309702416248"/>
          <c:w val="0.87924281329240628"/>
          <c:h val="0.65626899292380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Studio!$C$97</c:f>
              <c:strCache>
                <c:ptCount val="1"/>
                <c:pt idx="0">
                  <c:v>DSCR stimato</c:v>
                </c:pt>
              </c:strCache>
            </c:strRef>
          </c:tx>
          <c:spPr>
            <a:pattFill prst="narHorz">
              <a:fgClr>
                <a:srgbClr val="0070C0"/>
              </a:fgClr>
              <a:bgClr>
                <a:schemeClr val="bg1"/>
              </a:bgClr>
            </a:pattFill>
            <a:ln>
              <a:solidFill>
                <a:srgbClr val="0070C0"/>
              </a:solidFill>
            </a:ln>
            <a:effectLst>
              <a:outerShdw blurRad="114300" sx="1000" sy="1000" algn="ctr" rotWithShape="0">
                <a:srgbClr val="0070C0"/>
              </a:outerShdw>
            </a:effectLst>
          </c:spPr>
          <c:invertIfNegative val="0"/>
          <c:cat>
            <c:strRef>
              <c:f>Studio!$D$92:$I$92</c:f>
              <c:strCache>
                <c:ptCount val="5"/>
                <c:pt idx="0">
                  <c:v>2.022</c:v>
                </c:pt>
                <c:pt idx="1">
                  <c:v>2.023</c:v>
                </c:pt>
                <c:pt idx="2">
                  <c:v>2024</c:v>
                </c:pt>
                <c:pt idx="3">
                  <c:v>2.025</c:v>
                </c:pt>
                <c:pt idx="4">
                  <c:v>2026 - previsione</c:v>
                </c:pt>
              </c:strCache>
            </c:strRef>
          </c:cat>
          <c:val>
            <c:numRef>
              <c:f>Studio!$D$97:$I$97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9-456C-9D80-664ADA39A7A0}"/>
            </c:ext>
          </c:extLst>
        </c:ser>
        <c:ser>
          <c:idx val="1"/>
          <c:order val="1"/>
          <c:tx>
            <c:strRef>
              <c:f>Studio!$C$98</c:f>
              <c:strCache>
                <c:ptCount val="1"/>
                <c:pt idx="0">
                  <c:v>DSCR best</c:v>
                </c:pt>
              </c:strCache>
            </c:strRef>
          </c:tx>
          <c:spPr>
            <a:pattFill prst="narHorz">
              <a:fgClr>
                <a:srgbClr val="008000"/>
              </a:fgClr>
              <a:bgClr>
                <a:schemeClr val="bg1"/>
              </a:bgClr>
            </a:pattFill>
            <a:ln>
              <a:solidFill>
                <a:srgbClr val="008000"/>
              </a:solidFill>
            </a:ln>
            <a:effectLst>
              <a:outerShdw blurRad="114300" dir="5400000" sx="1000" sy="1000" algn="ctr" rotWithShape="0">
                <a:srgbClr val="008000"/>
              </a:outerShdw>
            </a:effectLst>
          </c:spPr>
          <c:invertIfNegative val="0"/>
          <c:cat>
            <c:strRef>
              <c:f>Studio!$D$92:$I$92</c:f>
              <c:strCache>
                <c:ptCount val="5"/>
                <c:pt idx="0">
                  <c:v>2.022</c:v>
                </c:pt>
                <c:pt idx="1">
                  <c:v>2.023</c:v>
                </c:pt>
                <c:pt idx="2">
                  <c:v>2024</c:v>
                </c:pt>
                <c:pt idx="3">
                  <c:v>2.025</c:v>
                </c:pt>
                <c:pt idx="4">
                  <c:v>2026 - previsione</c:v>
                </c:pt>
              </c:strCache>
            </c:strRef>
          </c:cat>
          <c:val>
            <c:numRef>
              <c:f>Studio!$D$98:$I$98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9-456C-9D80-664ADA39A7A0}"/>
            </c:ext>
          </c:extLst>
        </c:ser>
        <c:ser>
          <c:idx val="2"/>
          <c:order val="2"/>
          <c:tx>
            <c:strRef>
              <c:f>Studio!$C$99</c:f>
              <c:strCache>
                <c:ptCount val="1"/>
                <c:pt idx="0">
                  <c:v>DSCR wrost</c:v>
                </c:pt>
              </c:strCache>
            </c:strRef>
          </c:tx>
          <c:spPr>
            <a:pattFill prst="narHorz">
              <a:fgClr>
                <a:srgbClr val="C00000"/>
              </a:fgClr>
              <a:bgClr>
                <a:schemeClr val="bg1"/>
              </a:bgClr>
            </a:patt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Studio!$D$92:$I$92</c:f>
              <c:strCache>
                <c:ptCount val="5"/>
                <c:pt idx="0">
                  <c:v>2.022</c:v>
                </c:pt>
                <c:pt idx="1">
                  <c:v>2.023</c:v>
                </c:pt>
                <c:pt idx="2">
                  <c:v>2024</c:v>
                </c:pt>
                <c:pt idx="3">
                  <c:v>2.025</c:v>
                </c:pt>
                <c:pt idx="4">
                  <c:v>2026 - previsione</c:v>
                </c:pt>
              </c:strCache>
            </c:strRef>
          </c:cat>
          <c:val>
            <c:numRef>
              <c:f>Studio!$D$99:$I$99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9-456C-9D80-664ADA39A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728864"/>
        <c:axId val="712727784"/>
      </c:barChart>
      <c:catAx>
        <c:axId val="7127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2727784"/>
        <c:crosses val="autoZero"/>
        <c:auto val="1"/>
        <c:lblAlgn val="ctr"/>
        <c:lblOffset val="100"/>
        <c:noMultiLvlLbl val="0"/>
      </c:catAx>
      <c:valAx>
        <c:axId val="71272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272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36217860709693"/>
          <c:y val="0.13122659799984407"/>
          <c:w val="0.45091597432987712"/>
          <c:h val="6.5619336568464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10584</xdr:colOff>
      <xdr:row>90</xdr:row>
      <xdr:rowOff>14816</xdr:rowOff>
    </xdr:from>
    <xdr:to>
      <xdr:col>11</xdr:col>
      <xdr:colOff>84666</xdr:colOff>
      <xdr:row>110</xdr:row>
      <xdr:rowOff>95249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C7F051-DCB9-458E-99E1-8D9053E6F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301623</xdr:colOff>
      <xdr:row>89</xdr:row>
      <xdr:rowOff>152397</xdr:rowOff>
    </xdr:from>
    <xdr:to>
      <xdr:col>20</xdr:col>
      <xdr:colOff>0</xdr:colOff>
      <xdr:row>110</xdr:row>
      <xdr:rowOff>84666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0CF69F6-32C4-7316-9A4A-3D21880BA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C0B-CCD4-47F7-9905-20AC3A74C677}">
  <dimension ref="B1:AL144"/>
  <sheetViews>
    <sheetView showGridLines="0" tabSelected="1" zoomScale="90" zoomScaleNormal="90" workbookViewId="0">
      <selection activeCell="B18" sqref="B18"/>
    </sheetView>
  </sheetViews>
  <sheetFormatPr defaultRowHeight="14.25" x14ac:dyDescent="0.3"/>
  <cols>
    <col min="1" max="1" width="3.7109375" style="51" customWidth="1"/>
    <col min="2" max="2" width="9.42578125" style="51" customWidth="1"/>
    <col min="3" max="3" width="16.28515625" style="51" customWidth="1"/>
    <col min="4" max="5" width="6.7109375" style="204" customWidth="1"/>
    <col min="6" max="6" width="8.7109375" style="51" customWidth="1"/>
    <col min="7" max="7" width="7.7109375" style="51" hidden="1" customWidth="1"/>
    <col min="8" max="9" width="6.7109375" style="204" customWidth="1"/>
    <col min="10" max="10" width="6.85546875" style="51" customWidth="1"/>
    <col min="11" max="11" width="7.7109375" style="51" customWidth="1"/>
    <col min="12" max="12" width="12.7109375" style="204" customWidth="1"/>
    <col min="13" max="14" width="7.7109375" style="51" customWidth="1"/>
    <col min="15" max="15" width="12.7109375" style="204" customWidth="1"/>
    <col min="16" max="17" width="7.7109375" style="51" customWidth="1"/>
    <col min="18" max="18" width="12.7109375" style="204" customWidth="1"/>
    <col min="19" max="20" width="7.7109375" style="51" customWidth="1"/>
    <col min="21" max="21" width="12.7109375" style="204" customWidth="1"/>
    <col min="22" max="23" width="7.7109375" style="51" customWidth="1"/>
    <col min="24" max="24" width="8.7109375" style="51" customWidth="1"/>
    <col min="25" max="25" width="16.7109375" style="51" customWidth="1"/>
    <col min="26" max="26" width="4.42578125" style="51" customWidth="1"/>
    <col min="27" max="27" width="10.7109375" style="51" customWidth="1"/>
    <col min="28" max="28" width="5.28515625" style="51" customWidth="1"/>
    <col min="29" max="29" width="10.7109375" style="51" customWidth="1"/>
    <col min="30" max="30" width="5.28515625" style="51" customWidth="1"/>
    <col min="31" max="31" width="10.7109375" style="51" customWidth="1"/>
    <col min="32" max="32" width="5.28515625" style="51" customWidth="1"/>
    <col min="33" max="33" width="10.7109375" style="51" customWidth="1"/>
    <col min="34" max="34" width="5.28515625" style="51" customWidth="1"/>
    <col min="35" max="37" width="9.140625" style="51"/>
    <col min="38" max="38" width="14.28515625" style="51" customWidth="1"/>
    <col min="39" max="43" width="16.42578125" style="51" customWidth="1"/>
    <col min="44" max="16384" width="9.140625" style="51"/>
  </cols>
  <sheetData>
    <row r="1" spans="2:38" ht="7.5" customHeight="1" x14ac:dyDescent="0.3">
      <c r="B1" s="50"/>
      <c r="C1" s="50"/>
      <c r="D1" s="212"/>
      <c r="E1" s="212"/>
      <c r="F1" s="50"/>
      <c r="G1" s="50"/>
      <c r="H1" s="212"/>
      <c r="I1" s="212"/>
      <c r="J1" s="50"/>
      <c r="K1" s="50"/>
      <c r="L1" s="212"/>
    </row>
    <row r="2" spans="2:38" ht="15" customHeight="1" x14ac:dyDescent="0.3">
      <c r="B2" s="357" t="s">
        <v>59</v>
      </c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8"/>
      <c r="N2" s="358"/>
      <c r="O2" s="358"/>
      <c r="P2" s="358"/>
      <c r="Q2" s="358"/>
      <c r="R2" s="359"/>
      <c r="S2" s="359"/>
      <c r="T2" s="52"/>
      <c r="U2" s="52"/>
      <c r="V2" s="52"/>
      <c r="W2" s="52"/>
    </row>
    <row r="3" spans="2:38" ht="7.5" customHeight="1" x14ac:dyDescent="0.3">
      <c r="B3" s="50"/>
      <c r="C3" s="50"/>
      <c r="D3" s="212"/>
      <c r="E3" s="212"/>
      <c r="F3" s="50"/>
      <c r="G3" s="50"/>
      <c r="H3" s="212"/>
      <c r="I3" s="212"/>
      <c r="J3" s="50"/>
      <c r="K3" s="50"/>
      <c r="L3" s="212"/>
    </row>
    <row r="4" spans="2:38" ht="14.1" customHeight="1" x14ac:dyDescent="0.3">
      <c r="B4" s="437" t="s">
        <v>6</v>
      </c>
      <c r="C4" s="438"/>
      <c r="D4" s="439"/>
      <c r="E4" s="439"/>
      <c r="F4" s="439"/>
      <c r="G4" s="439"/>
      <c r="H4" s="439"/>
      <c r="I4" s="439"/>
      <c r="J4" s="439"/>
      <c r="K4" s="54"/>
      <c r="P4" s="50" t="s">
        <v>19</v>
      </c>
      <c r="Q4" s="50"/>
      <c r="R4" s="205"/>
      <c r="S4" s="54"/>
      <c r="T4" s="54"/>
      <c r="U4" s="205"/>
      <c r="V4" s="54"/>
      <c r="W4" s="54"/>
      <c r="X4" s="54"/>
    </row>
    <row r="5" spans="2:38" ht="6" customHeight="1" x14ac:dyDescent="0.3">
      <c r="B5" s="53"/>
    </row>
    <row r="6" spans="2:38" ht="14.1" customHeight="1" x14ac:dyDescent="0.3">
      <c r="B6" s="437" t="s">
        <v>5</v>
      </c>
      <c r="C6" s="438"/>
      <c r="D6" s="440"/>
      <c r="E6" s="440"/>
      <c r="F6" s="440"/>
      <c r="G6" s="440"/>
      <c r="H6" s="440"/>
      <c r="I6" s="440"/>
      <c r="J6" s="440"/>
      <c r="K6" s="440"/>
      <c r="L6" s="440"/>
      <c r="M6" s="439"/>
      <c r="N6" s="439"/>
      <c r="O6" s="439"/>
      <c r="P6" s="439"/>
      <c r="Q6" s="439"/>
      <c r="R6" s="367"/>
      <c r="S6" s="367"/>
      <c r="T6" s="55"/>
      <c r="U6" s="55"/>
      <c r="V6" s="55"/>
      <c r="W6" s="55"/>
      <c r="X6" s="54"/>
    </row>
    <row r="7" spans="2:38" ht="7.5" customHeight="1" x14ac:dyDescent="0.3">
      <c r="B7" s="53"/>
      <c r="L7" s="253"/>
    </row>
    <row r="8" spans="2:38" ht="14.1" customHeight="1" x14ac:dyDescent="0.3">
      <c r="B8" s="437" t="s">
        <v>7</v>
      </c>
      <c r="C8" s="438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367"/>
      <c r="S8" s="367"/>
      <c r="T8" s="55"/>
      <c r="U8" s="55"/>
      <c r="V8" s="55"/>
      <c r="W8" s="55"/>
      <c r="X8" s="54"/>
    </row>
    <row r="9" spans="2:38" ht="7.5" customHeight="1" x14ac:dyDescent="0.3">
      <c r="B9" s="50"/>
      <c r="C9" s="50"/>
      <c r="D9" s="212"/>
      <c r="E9" s="212"/>
      <c r="F9" s="50"/>
      <c r="G9" s="50"/>
      <c r="H9" s="212"/>
      <c r="I9" s="212"/>
      <c r="J9" s="50"/>
      <c r="K9" s="50"/>
      <c r="L9" s="212"/>
    </row>
    <row r="10" spans="2:38" ht="14.1" customHeight="1" x14ac:dyDescent="0.3">
      <c r="B10" s="431" t="s">
        <v>20</v>
      </c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432"/>
      <c r="Q10" s="432"/>
      <c r="R10" s="433"/>
      <c r="S10" s="433"/>
      <c r="T10" s="52"/>
      <c r="U10" s="52"/>
      <c r="V10" s="52"/>
      <c r="W10" s="52"/>
      <c r="X10" s="54"/>
    </row>
    <row r="11" spans="2:38" ht="14.1" customHeight="1" x14ac:dyDescent="0.3">
      <c r="B11" s="434" t="s">
        <v>21</v>
      </c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6"/>
      <c r="S11" s="436"/>
      <c r="T11" s="52"/>
      <c r="U11" s="52"/>
      <c r="V11" s="52"/>
      <c r="W11" s="52"/>
      <c r="X11" s="54"/>
    </row>
    <row r="12" spans="2:38" ht="7.5" customHeight="1" x14ac:dyDescent="0.3">
      <c r="B12" s="50"/>
      <c r="C12" s="50"/>
      <c r="D12" s="212"/>
      <c r="E12" s="212"/>
      <c r="F12" s="50"/>
      <c r="G12" s="50"/>
      <c r="H12" s="212"/>
      <c r="I12" s="212"/>
      <c r="J12" s="50"/>
      <c r="K12" s="50"/>
      <c r="L12" s="212"/>
    </row>
    <row r="13" spans="2:38" ht="14.1" customHeight="1" x14ac:dyDescent="0.3">
      <c r="B13" s="56"/>
      <c r="C13" s="57" t="s">
        <v>30</v>
      </c>
      <c r="D13" s="451">
        <v>2022</v>
      </c>
      <c r="E13" s="451"/>
      <c r="F13" s="452"/>
      <c r="G13" s="58"/>
      <c r="H13" s="453">
        <f ca="1">I17</f>
        <v>2023</v>
      </c>
      <c r="I13" s="454"/>
      <c r="J13" s="455"/>
      <c r="K13" s="59"/>
      <c r="L13" s="446">
        <f ca="1">M17</f>
        <v>2024</v>
      </c>
      <c r="M13" s="446"/>
      <c r="N13" s="60"/>
      <c r="O13" s="447">
        <f ca="1">P17</f>
        <v>2025</v>
      </c>
      <c r="P13" s="448"/>
      <c r="Q13" s="61"/>
      <c r="R13" s="310" t="str">
        <f ca="1">S17</f>
        <v>2026 - previsione</v>
      </c>
      <c r="S13" s="311"/>
      <c r="T13" s="62"/>
      <c r="U13" s="310" t="str">
        <f ca="1">V17</f>
        <v>2027 - previsione</v>
      </c>
      <c r="V13" s="311"/>
      <c r="W13" s="62"/>
      <c r="X13" s="54"/>
    </row>
    <row r="14" spans="2:38" ht="14.1" customHeight="1" x14ac:dyDescent="0.3">
      <c r="B14" s="56"/>
      <c r="C14" s="63"/>
      <c r="D14" s="441" t="s">
        <v>31</v>
      </c>
      <c r="E14" s="441"/>
      <c r="F14" s="64" t="s">
        <v>32</v>
      </c>
      <c r="G14" s="64"/>
      <c r="H14" s="442" t="s">
        <v>31</v>
      </c>
      <c r="I14" s="441"/>
      <c r="J14" s="64" t="s">
        <v>32</v>
      </c>
      <c r="K14" s="65" t="s">
        <v>77</v>
      </c>
      <c r="L14" s="206" t="s">
        <v>31</v>
      </c>
      <c r="M14" s="64" t="s">
        <v>32</v>
      </c>
      <c r="N14" s="65" t="s">
        <v>77</v>
      </c>
      <c r="O14" s="206" t="s">
        <v>31</v>
      </c>
      <c r="P14" s="64" t="s">
        <v>32</v>
      </c>
      <c r="Q14" s="65" t="s">
        <v>77</v>
      </c>
      <c r="R14" s="206" t="s">
        <v>31</v>
      </c>
      <c r="S14" s="64" t="s">
        <v>32</v>
      </c>
      <c r="T14" s="65" t="s">
        <v>77</v>
      </c>
      <c r="U14" s="206" t="s">
        <v>31</v>
      </c>
      <c r="V14" s="64" t="s">
        <v>32</v>
      </c>
      <c r="W14" s="65" t="s">
        <v>77</v>
      </c>
      <c r="X14" s="54"/>
    </row>
    <row r="15" spans="2:38" s="66" customFormat="1" ht="7.5" customHeight="1" x14ac:dyDescent="0.3">
      <c r="D15" s="207"/>
      <c r="E15" s="207"/>
      <c r="F15" s="66">
        <f ca="1">YEAR(R124)</f>
        <v>2026</v>
      </c>
      <c r="H15" s="207"/>
      <c r="I15" s="207">
        <f ca="1">IF(H17&lt;F15,(D13+1)," - previsione")</f>
        <v>2023</v>
      </c>
      <c r="L15" s="254">
        <f ca="1">IF(L17&lt;F15,(H13+1)," - previsione")</f>
        <v>2024</v>
      </c>
      <c r="O15" s="207">
        <f ca="1">IF(O17&lt;F15,(L13+1)," - previsione")</f>
        <v>2025</v>
      </c>
      <c r="R15" s="207" t="str">
        <f ca="1">IF(R17&lt;F15,(O13+1)," - previsione")</f>
        <v xml:space="preserve"> - previsione</v>
      </c>
      <c r="U15" s="207" t="str">
        <f ca="1">IF(U17&lt;I15,(R13+1)," - previsione")</f>
        <v xml:space="preserve"> - previsione</v>
      </c>
    </row>
    <row r="16" spans="2:38" ht="14.1" customHeight="1" x14ac:dyDescent="0.3">
      <c r="B16" s="357" t="s">
        <v>8</v>
      </c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8"/>
      <c r="N16" s="358"/>
      <c r="O16" s="358"/>
      <c r="P16" s="358"/>
      <c r="Q16" s="358"/>
      <c r="R16" s="359"/>
      <c r="S16" s="359"/>
      <c r="T16" s="52"/>
      <c r="U16" s="52"/>
      <c r="V16" s="52"/>
      <c r="W16" s="52"/>
      <c r="AL16" s="67"/>
    </row>
    <row r="17" spans="2:36" s="66" customFormat="1" ht="7.5" customHeight="1" x14ac:dyDescent="0.3">
      <c r="D17" s="207"/>
      <c r="E17" s="207"/>
      <c r="H17" s="207">
        <f>D13+1</f>
        <v>2023</v>
      </c>
      <c r="I17" s="207">
        <f ca="1">IF((H17=I15),H17,_xlfn.CONCAT(H17,I15))</f>
        <v>2023</v>
      </c>
      <c r="L17" s="207">
        <f>H17+1</f>
        <v>2024</v>
      </c>
      <c r="M17" s="66">
        <f ca="1">IF((L17=L15),L17,_xlfn.CONCAT(L17,L15))</f>
        <v>2024</v>
      </c>
      <c r="O17" s="207">
        <f>L17+1</f>
        <v>2025</v>
      </c>
      <c r="P17" s="66">
        <f ca="1">IF((O17=O15),O17,_xlfn.CONCAT(O17,O15))</f>
        <v>2025</v>
      </c>
      <c r="R17" s="207">
        <f>O17+1</f>
        <v>2026</v>
      </c>
      <c r="S17" s="66" t="str">
        <f ca="1">IF((R17=R15),R17,_xlfn.CONCAT(R17,R15))</f>
        <v>2026 - previsione</v>
      </c>
      <c r="U17" s="207">
        <f>R17+1</f>
        <v>2027</v>
      </c>
      <c r="V17" s="66" t="str">
        <f ca="1">IF((U17=U15),U17,_xlfn.CONCAT(U17,U15))</f>
        <v>2027 - previsione</v>
      </c>
      <c r="X17" s="50"/>
    </row>
    <row r="18" spans="2:36" ht="14.1" customHeight="1" x14ac:dyDescent="0.3">
      <c r="B18" s="68" t="s">
        <v>0</v>
      </c>
      <c r="C18" s="69"/>
      <c r="D18" s="443">
        <v>0</v>
      </c>
      <c r="E18" s="443"/>
      <c r="F18" s="1" t="e">
        <f t="shared" ref="F18:F23" si="0">D18/$D$24</f>
        <v>#DIV/0!</v>
      </c>
      <c r="G18" s="2"/>
      <c r="H18" s="444">
        <v>0</v>
      </c>
      <c r="I18" s="445"/>
      <c r="J18" s="3" t="e">
        <f>H18/$H$24</f>
        <v>#DIV/0!</v>
      </c>
      <c r="K18" s="4" t="str">
        <f>IF(D18=0,"nd",(IF(H18=0,"nd",H18/D18)))</f>
        <v>nd</v>
      </c>
      <c r="L18" s="208">
        <v>0</v>
      </c>
      <c r="M18" s="1" t="e">
        <f>L18/$L$24</f>
        <v>#DIV/0!</v>
      </c>
      <c r="N18" s="5" t="str">
        <f>IF(H18=0,"nd",(IF(L18=0,"nd",L18/H18)))</f>
        <v>nd</v>
      </c>
      <c r="O18" s="234">
        <v>0</v>
      </c>
      <c r="P18" s="3" t="e">
        <f>O18/$O$24</f>
        <v>#DIV/0!</v>
      </c>
      <c r="Q18" s="4" t="str">
        <f>IF(L18=0,"nd",(IF(O18=0,"nd",O18/L18)))</f>
        <v>nd</v>
      </c>
      <c r="R18" s="208">
        <v>0</v>
      </c>
      <c r="S18" s="1" t="e">
        <f>R18/$R$24</f>
        <v>#DIV/0!</v>
      </c>
      <c r="T18" s="6" t="str">
        <f>IF(O18=0,"nd",(IF(R18=0,"nd",R18/O18)))</f>
        <v>nd</v>
      </c>
      <c r="U18" s="208">
        <v>0</v>
      </c>
      <c r="V18" s="1" t="e">
        <f>U18/$U$24</f>
        <v>#DIV/0!</v>
      </c>
      <c r="W18" s="6" t="str">
        <f>IF(R18=0,"nd",(IF(U18=0,"nd",U18/R18)))</f>
        <v>nd</v>
      </c>
      <c r="X18" s="7"/>
      <c r="Y18" s="70" t="s">
        <v>37</v>
      </c>
      <c r="Z18" s="71"/>
      <c r="AA18" s="72"/>
      <c r="AB18" s="72"/>
      <c r="AC18" s="72"/>
      <c r="AD18" s="72"/>
      <c r="AE18" s="72"/>
      <c r="AF18" s="72"/>
      <c r="AG18" s="72"/>
      <c r="AH18" s="72"/>
      <c r="AI18" s="72"/>
      <c r="AJ18" s="73"/>
    </row>
    <row r="19" spans="2:36" ht="14.1" customHeight="1" x14ac:dyDescent="0.3">
      <c r="B19" s="74" t="s">
        <v>46</v>
      </c>
      <c r="C19" s="75"/>
      <c r="D19" s="428">
        <v>0</v>
      </c>
      <c r="E19" s="428"/>
      <c r="F19" s="8" t="e">
        <f t="shared" si="0"/>
        <v>#DIV/0!</v>
      </c>
      <c r="G19" s="8"/>
      <c r="H19" s="429">
        <v>0</v>
      </c>
      <c r="I19" s="430"/>
      <c r="J19" s="9" t="e">
        <f t="shared" ref="J19:J23" si="1">H19/$H$24</f>
        <v>#DIV/0!</v>
      </c>
      <c r="K19" s="10" t="str">
        <f>IF(D19=0,"nd",(IF(H19=0,"nd",H19/D19)))</f>
        <v>nd</v>
      </c>
      <c r="L19" s="209">
        <v>0</v>
      </c>
      <c r="M19" s="8" t="e">
        <f t="shared" ref="M19:M23" si="2">L19/$L$24</f>
        <v>#DIV/0!</v>
      </c>
      <c r="N19" s="10" t="str">
        <f t="shared" ref="N19:N24" si="3">IF(H19=0,"nd",(IF(L19=0,"nd",L19/H19)))</f>
        <v>nd</v>
      </c>
      <c r="O19" s="235">
        <v>0</v>
      </c>
      <c r="P19" s="9" t="e">
        <f t="shared" ref="P19:P23" si="4">O19/$O$24</f>
        <v>#DIV/0!</v>
      </c>
      <c r="Q19" s="10" t="str">
        <f t="shared" ref="Q19:Q23" si="5">IF(L19=0,"nd",(IF(O19=0,"nd",O19/L19)))</f>
        <v>nd</v>
      </c>
      <c r="R19" s="209">
        <v>0</v>
      </c>
      <c r="S19" s="8" t="e">
        <f t="shared" ref="S19:S23" si="6">R19/$R$24</f>
        <v>#DIV/0!</v>
      </c>
      <c r="T19" s="11" t="str">
        <f t="shared" ref="T19:T24" si="7">IF(O19=0,"nd",(IF(R19=0,"nd",R19/O19)))</f>
        <v>nd</v>
      </c>
      <c r="U19" s="209">
        <v>0</v>
      </c>
      <c r="V19" s="1" t="e">
        <f t="shared" ref="V19:V22" si="8">U19/$U$24</f>
        <v>#DIV/0!</v>
      </c>
      <c r="W19" s="11" t="str">
        <f t="shared" ref="W19:W24" si="9">IF(R19=0,"nd",(IF(U19=0,"nd",U19/R19)))</f>
        <v>nd</v>
      </c>
      <c r="X19" s="12"/>
      <c r="Y19" s="76"/>
      <c r="Z19" s="77"/>
      <c r="AA19" s="78">
        <f>D13</f>
        <v>2022</v>
      </c>
      <c r="AB19" s="79"/>
      <c r="AC19" s="78">
        <f ca="1">H13</f>
        <v>2023</v>
      </c>
      <c r="AD19" s="79"/>
      <c r="AE19" s="78">
        <f ca="1">L13</f>
        <v>2024</v>
      </c>
      <c r="AF19" s="79"/>
      <c r="AG19" s="78">
        <f ca="1">O13</f>
        <v>2025</v>
      </c>
      <c r="AH19" s="79"/>
      <c r="AI19" s="78" t="str">
        <f ca="1">R13</f>
        <v>2026 - previsione</v>
      </c>
      <c r="AJ19" s="80"/>
    </row>
    <row r="20" spans="2:36" ht="14.1" customHeight="1" x14ac:dyDescent="0.3">
      <c r="B20" s="74" t="s">
        <v>45</v>
      </c>
      <c r="C20" s="75"/>
      <c r="D20" s="459">
        <v>0</v>
      </c>
      <c r="E20" s="459"/>
      <c r="F20" s="8" t="e">
        <f t="shared" si="0"/>
        <v>#DIV/0!</v>
      </c>
      <c r="G20" s="13"/>
      <c r="H20" s="460">
        <v>0</v>
      </c>
      <c r="I20" s="461"/>
      <c r="J20" s="9" t="e">
        <f t="shared" si="1"/>
        <v>#DIV/0!</v>
      </c>
      <c r="K20" s="10" t="str">
        <f>IF(D20=0,"nd",(IF(H20=0,"nd",H20/D20)))</f>
        <v>nd</v>
      </c>
      <c r="L20" s="209">
        <v>0</v>
      </c>
      <c r="M20" s="8" t="e">
        <f t="shared" si="2"/>
        <v>#DIV/0!</v>
      </c>
      <c r="N20" s="11" t="str">
        <f t="shared" si="3"/>
        <v>nd</v>
      </c>
      <c r="O20" s="236">
        <v>0</v>
      </c>
      <c r="P20" s="9" t="e">
        <f t="shared" si="4"/>
        <v>#DIV/0!</v>
      </c>
      <c r="Q20" s="10" t="str">
        <f t="shared" si="5"/>
        <v>nd</v>
      </c>
      <c r="R20" s="209">
        <v>0</v>
      </c>
      <c r="S20" s="8" t="e">
        <f t="shared" si="6"/>
        <v>#DIV/0!</v>
      </c>
      <c r="T20" s="11" t="str">
        <f t="shared" si="7"/>
        <v>nd</v>
      </c>
      <c r="U20" s="209">
        <v>0</v>
      </c>
      <c r="V20" s="1" t="e">
        <f t="shared" si="8"/>
        <v>#DIV/0!</v>
      </c>
      <c r="W20" s="11" t="str">
        <f t="shared" si="9"/>
        <v>nd</v>
      </c>
      <c r="X20" s="12"/>
      <c r="Y20" s="81" t="s">
        <v>39</v>
      </c>
      <c r="AA20" s="292">
        <v>0</v>
      </c>
      <c r="AB20" s="82"/>
      <c r="AC20" s="292">
        <v>0</v>
      </c>
      <c r="AD20" s="82"/>
      <c r="AE20" s="292">
        <v>0</v>
      </c>
      <c r="AF20" s="83"/>
      <c r="AG20" s="292">
        <v>0</v>
      </c>
      <c r="AH20" s="83"/>
      <c r="AI20" s="292">
        <v>0</v>
      </c>
      <c r="AJ20" s="84"/>
    </row>
    <row r="21" spans="2:36" ht="14.1" customHeight="1" x14ac:dyDescent="0.3">
      <c r="B21" s="407" t="s">
        <v>23</v>
      </c>
      <c r="C21" s="408"/>
      <c r="D21" s="428">
        <v>0</v>
      </c>
      <c r="E21" s="428"/>
      <c r="F21" s="8" t="e">
        <f t="shared" si="0"/>
        <v>#DIV/0!</v>
      </c>
      <c r="G21" s="8"/>
      <c r="H21" s="429">
        <v>0</v>
      </c>
      <c r="I21" s="430"/>
      <c r="J21" s="9" t="e">
        <f t="shared" si="1"/>
        <v>#DIV/0!</v>
      </c>
      <c r="K21" s="10" t="str">
        <f t="shared" ref="K21:K24" si="10">IF(D21=0,"nd",(IF(H21=0,"nd",H21/D21)))</f>
        <v>nd</v>
      </c>
      <c r="L21" s="209">
        <v>0</v>
      </c>
      <c r="M21" s="8" t="e">
        <f t="shared" si="2"/>
        <v>#DIV/0!</v>
      </c>
      <c r="N21" s="10" t="str">
        <f t="shared" si="3"/>
        <v>nd</v>
      </c>
      <c r="O21" s="235">
        <v>0</v>
      </c>
      <c r="P21" s="9" t="e">
        <f t="shared" si="4"/>
        <v>#DIV/0!</v>
      </c>
      <c r="Q21" s="10" t="str">
        <f t="shared" si="5"/>
        <v>nd</v>
      </c>
      <c r="R21" s="209">
        <v>0</v>
      </c>
      <c r="S21" s="8" t="e">
        <f t="shared" si="6"/>
        <v>#DIV/0!</v>
      </c>
      <c r="T21" s="11" t="str">
        <f t="shared" si="7"/>
        <v>nd</v>
      </c>
      <c r="U21" s="209">
        <v>0</v>
      </c>
      <c r="V21" s="1" t="e">
        <f t="shared" si="8"/>
        <v>#DIV/0!</v>
      </c>
      <c r="W21" s="11" t="str">
        <f t="shared" si="9"/>
        <v>nd</v>
      </c>
      <c r="X21" s="12"/>
      <c r="Y21" s="81" t="s">
        <v>48</v>
      </c>
      <c r="AA21" s="292">
        <v>0</v>
      </c>
      <c r="AB21" s="293"/>
      <c r="AC21" s="292">
        <v>0</v>
      </c>
      <c r="AD21" s="293"/>
      <c r="AE21" s="292">
        <v>0</v>
      </c>
      <c r="AF21" s="294"/>
      <c r="AG21" s="292">
        <v>0</v>
      </c>
      <c r="AH21" s="294"/>
      <c r="AI21" s="292">
        <v>0</v>
      </c>
      <c r="AJ21" s="84"/>
    </row>
    <row r="22" spans="2:36" ht="14.1" customHeight="1" x14ac:dyDescent="0.3">
      <c r="B22" s="407" t="s">
        <v>49</v>
      </c>
      <c r="C22" s="408"/>
      <c r="D22" s="428">
        <v>0</v>
      </c>
      <c r="E22" s="428"/>
      <c r="F22" s="8" t="e">
        <f t="shared" si="0"/>
        <v>#DIV/0!</v>
      </c>
      <c r="G22" s="8"/>
      <c r="H22" s="429">
        <v>0</v>
      </c>
      <c r="I22" s="430"/>
      <c r="J22" s="9" t="e">
        <f t="shared" si="1"/>
        <v>#DIV/0!</v>
      </c>
      <c r="K22" s="10" t="str">
        <f t="shared" si="10"/>
        <v>nd</v>
      </c>
      <c r="L22" s="209">
        <v>0</v>
      </c>
      <c r="M22" s="8" t="e">
        <f t="shared" si="2"/>
        <v>#DIV/0!</v>
      </c>
      <c r="N22" s="10" t="str">
        <f t="shared" si="3"/>
        <v>nd</v>
      </c>
      <c r="O22" s="235">
        <v>0</v>
      </c>
      <c r="P22" s="9" t="e">
        <f t="shared" si="4"/>
        <v>#DIV/0!</v>
      </c>
      <c r="Q22" s="10" t="str">
        <f t="shared" si="5"/>
        <v>nd</v>
      </c>
      <c r="R22" s="209">
        <v>0</v>
      </c>
      <c r="S22" s="8" t="e">
        <f t="shared" si="6"/>
        <v>#DIV/0!</v>
      </c>
      <c r="T22" s="11" t="str">
        <f t="shared" si="7"/>
        <v>nd</v>
      </c>
      <c r="U22" s="209">
        <v>0</v>
      </c>
      <c r="V22" s="1" t="e">
        <f t="shared" si="8"/>
        <v>#DIV/0!</v>
      </c>
      <c r="W22" s="11" t="str">
        <f t="shared" si="9"/>
        <v>nd</v>
      </c>
      <c r="X22" s="12"/>
      <c r="Y22" s="81" t="s">
        <v>47</v>
      </c>
      <c r="Z22" s="77"/>
      <c r="AA22" s="295">
        <v>0</v>
      </c>
      <c r="AB22" s="85"/>
      <c r="AC22" s="295">
        <v>0</v>
      </c>
      <c r="AD22" s="85"/>
      <c r="AE22" s="295">
        <v>0</v>
      </c>
      <c r="AF22" s="85"/>
      <c r="AG22" s="295">
        <v>0</v>
      </c>
      <c r="AH22" s="85"/>
      <c r="AI22" s="295">
        <v>0</v>
      </c>
      <c r="AJ22" s="86"/>
    </row>
    <row r="23" spans="2:36" ht="14.1" customHeight="1" x14ac:dyDescent="0.3">
      <c r="B23" s="87" t="s">
        <v>1</v>
      </c>
      <c r="C23" s="14"/>
      <c r="D23" s="456">
        <v>0</v>
      </c>
      <c r="E23" s="456"/>
      <c r="F23" s="15" t="e">
        <f t="shared" si="0"/>
        <v>#DIV/0!</v>
      </c>
      <c r="G23" s="15"/>
      <c r="H23" s="457">
        <v>0</v>
      </c>
      <c r="I23" s="458"/>
      <c r="J23" s="16" t="e">
        <f t="shared" si="1"/>
        <v>#DIV/0!</v>
      </c>
      <c r="K23" s="17" t="str">
        <f t="shared" si="10"/>
        <v>nd</v>
      </c>
      <c r="L23" s="210">
        <v>0</v>
      </c>
      <c r="M23" s="15" t="e">
        <f t="shared" si="2"/>
        <v>#DIV/0!</v>
      </c>
      <c r="N23" s="17" t="str">
        <f t="shared" si="3"/>
        <v>nd</v>
      </c>
      <c r="O23" s="237">
        <v>0</v>
      </c>
      <c r="P23" s="16" t="e">
        <f t="shared" si="4"/>
        <v>#DIV/0!</v>
      </c>
      <c r="Q23" s="17" t="str">
        <f t="shared" si="5"/>
        <v>nd</v>
      </c>
      <c r="R23" s="210">
        <v>0</v>
      </c>
      <c r="S23" s="15" t="e">
        <f t="shared" si="6"/>
        <v>#DIV/0!</v>
      </c>
      <c r="T23" s="17" t="str">
        <f t="shared" si="7"/>
        <v>nd</v>
      </c>
      <c r="U23" s="210">
        <v>0</v>
      </c>
      <c r="V23" s="1" t="e">
        <f>U23/$U$24</f>
        <v>#DIV/0!</v>
      </c>
      <c r="W23" s="17" t="str">
        <f t="shared" si="9"/>
        <v>nd</v>
      </c>
      <c r="X23" s="12"/>
      <c r="Y23" s="88" t="s">
        <v>38</v>
      </c>
      <c r="Z23" s="89"/>
      <c r="AA23" s="296">
        <f>AA20-AA21-AA22</f>
        <v>0</v>
      </c>
      <c r="AB23" s="90"/>
      <c r="AC23" s="296">
        <f>AC20-AC21-AC22</f>
        <v>0</v>
      </c>
      <c r="AD23" s="90"/>
      <c r="AE23" s="296">
        <f>AE20-AE21-AE22</f>
        <v>0</v>
      </c>
      <c r="AF23" s="90"/>
      <c r="AG23" s="296">
        <f>AG20-AG21-AG22</f>
        <v>0</v>
      </c>
      <c r="AH23" s="90"/>
      <c r="AI23" s="296">
        <f>AI20-AI21-AI22</f>
        <v>0</v>
      </c>
      <c r="AJ23" s="91"/>
    </row>
    <row r="24" spans="2:36" ht="14.1" customHeight="1" x14ac:dyDescent="0.3">
      <c r="C24" s="92" t="s">
        <v>25</v>
      </c>
      <c r="D24" s="414">
        <f>SUM(D18:E23)</f>
        <v>0</v>
      </c>
      <c r="E24" s="414"/>
      <c r="F24" s="18" t="e">
        <f>SUM(F18:F23)</f>
        <v>#DIV/0!</v>
      </c>
      <c r="G24" s="18"/>
      <c r="H24" s="415">
        <f>SUM(H18:I23)</f>
        <v>0</v>
      </c>
      <c r="I24" s="416"/>
      <c r="J24" s="19" t="e">
        <f t="shared" ref="J24:S24" si="11">SUM(J18:J23)</f>
        <v>#DIV/0!</v>
      </c>
      <c r="K24" s="19" t="str">
        <f t="shared" si="10"/>
        <v>nd</v>
      </c>
      <c r="L24" s="211">
        <f t="shared" si="11"/>
        <v>0</v>
      </c>
      <c r="M24" s="18" t="e">
        <f t="shared" si="11"/>
        <v>#DIV/0!</v>
      </c>
      <c r="N24" s="19" t="str">
        <f t="shared" si="3"/>
        <v>nd</v>
      </c>
      <c r="O24" s="238">
        <f t="shared" si="11"/>
        <v>0</v>
      </c>
      <c r="P24" s="19" t="e">
        <f t="shared" si="11"/>
        <v>#DIV/0!</v>
      </c>
      <c r="Q24" s="19" t="str">
        <f>IF(L24=0,"nd",(IF(O24=0,"nd",O24/L24)))</f>
        <v>nd</v>
      </c>
      <c r="R24" s="211">
        <f t="shared" si="11"/>
        <v>0</v>
      </c>
      <c r="S24" s="18" t="e">
        <f t="shared" si="11"/>
        <v>#DIV/0!</v>
      </c>
      <c r="T24" s="19" t="str">
        <f t="shared" si="7"/>
        <v>nd</v>
      </c>
      <c r="U24" s="211">
        <f t="shared" ref="U24:V24" si="12">SUM(U18:U23)</f>
        <v>0</v>
      </c>
      <c r="V24" s="18" t="e">
        <f t="shared" si="12"/>
        <v>#DIV/0!</v>
      </c>
      <c r="W24" s="19" t="str">
        <f t="shared" si="9"/>
        <v>nd</v>
      </c>
      <c r="X24" s="20"/>
      <c r="Y24" s="93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5"/>
    </row>
    <row r="25" spans="2:36" ht="7.5" customHeight="1" x14ac:dyDescent="0.3"/>
    <row r="26" spans="2:36" ht="14.1" customHeight="1" x14ac:dyDescent="0.3">
      <c r="B26" s="357" t="s">
        <v>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8"/>
      <c r="N26" s="358"/>
      <c r="O26" s="358"/>
      <c r="P26" s="358"/>
      <c r="Q26" s="358"/>
      <c r="R26" s="359"/>
      <c r="S26" s="359"/>
      <c r="T26" s="52"/>
      <c r="U26" s="52"/>
      <c r="V26" s="52"/>
      <c r="W26" s="52"/>
    </row>
    <row r="27" spans="2:36" ht="7.5" customHeight="1" x14ac:dyDescent="0.3">
      <c r="B27" s="77"/>
      <c r="C27" s="77"/>
      <c r="D27" s="420"/>
      <c r="E27" s="420"/>
      <c r="F27" s="50"/>
      <c r="G27" s="50"/>
      <c r="H27" s="420"/>
      <c r="I27" s="420"/>
      <c r="J27" s="50"/>
      <c r="K27" s="64"/>
      <c r="L27" s="212"/>
      <c r="M27" s="50"/>
      <c r="N27" s="64"/>
      <c r="O27" s="212"/>
      <c r="P27" s="50"/>
      <c r="Q27" s="64"/>
      <c r="R27" s="212"/>
      <c r="S27" s="50"/>
      <c r="T27" s="64"/>
      <c r="U27" s="212"/>
      <c r="V27" s="50"/>
      <c r="W27" s="64"/>
      <c r="X27" s="50"/>
    </row>
    <row r="28" spans="2:36" ht="14.1" customHeight="1" x14ac:dyDescent="0.3">
      <c r="B28" s="96" t="s">
        <v>76</v>
      </c>
      <c r="C28" s="97"/>
      <c r="D28" s="426">
        <f>SUM(D29:E32)</f>
        <v>0</v>
      </c>
      <c r="E28" s="427"/>
      <c r="F28" s="21" t="e">
        <f>D28/$D$24</f>
        <v>#DIV/0!</v>
      </c>
      <c r="G28" s="22"/>
      <c r="H28" s="449">
        <f>SUM(H29:I32)</f>
        <v>0</v>
      </c>
      <c r="I28" s="450"/>
      <c r="J28" s="22" t="e">
        <f t="shared" ref="J28:J34" si="13">H28/$H$24</f>
        <v>#DIV/0!</v>
      </c>
      <c r="K28" s="23" t="str">
        <f t="shared" ref="K28:K41" si="14">IF(D28=0,"nd",(IF(H28=0,"nd",H28/D28)))</f>
        <v>nd</v>
      </c>
      <c r="L28" s="213">
        <f>SUM(L29:L32)</f>
        <v>0</v>
      </c>
      <c r="M28" s="22" t="e">
        <f t="shared" ref="M28:M34" si="15">L28/$L$24</f>
        <v>#DIV/0!</v>
      </c>
      <c r="N28" s="23" t="str">
        <f>IF(H28=0,"nd",(IF(L28=0,"nd",L28/H28)))</f>
        <v>nd</v>
      </c>
      <c r="O28" s="239">
        <f>SUM(O29:O32)</f>
        <v>0</v>
      </c>
      <c r="P28" s="22" t="e">
        <f t="shared" ref="P28:P34" si="16">O28/$O$24</f>
        <v>#DIV/0!</v>
      </c>
      <c r="Q28" s="23" t="str">
        <f>IF(L28=0,"nd",(IF(O28=0,"nd",O28/L28)))</f>
        <v>nd</v>
      </c>
      <c r="R28" s="213">
        <f>SUM(R29:R32)</f>
        <v>0</v>
      </c>
      <c r="S28" s="22" t="e">
        <f>R28/$R$24</f>
        <v>#DIV/0!</v>
      </c>
      <c r="T28" s="23" t="str">
        <f>IF(O28=0,"nd",(IF(R28=0,"nd",R28/O28)))</f>
        <v>nd</v>
      </c>
      <c r="U28" s="213">
        <f>SUM(U29:U32)</f>
        <v>0</v>
      </c>
      <c r="V28" s="22" t="e">
        <f>U28/$U$24</f>
        <v>#DIV/0!</v>
      </c>
      <c r="W28" s="23" t="str">
        <f>IF(R28=0,"nd",(IF(U28=0,"nd",U28/R28)))</f>
        <v>nd</v>
      </c>
      <c r="X28" s="12"/>
    </row>
    <row r="29" spans="2:36" ht="14.1" customHeight="1" x14ac:dyDescent="0.3">
      <c r="B29" s="98" t="s">
        <v>41</v>
      </c>
      <c r="C29" s="99" t="s">
        <v>42</v>
      </c>
      <c r="D29" s="411">
        <v>0</v>
      </c>
      <c r="E29" s="412"/>
      <c r="F29" s="100" t="e">
        <f>IF(D29="nd","-",D29/$D$24)</f>
        <v>#DIV/0!</v>
      </c>
      <c r="G29" s="26"/>
      <c r="H29" s="402">
        <v>0</v>
      </c>
      <c r="I29" s="413"/>
      <c r="J29" s="26" t="e">
        <f>IF(H29="nd","-",H29/$H$24)</f>
        <v>#DIV/0!</v>
      </c>
      <c r="K29" s="25" t="str">
        <f t="shared" si="14"/>
        <v>nd</v>
      </c>
      <c r="L29" s="214">
        <v>0</v>
      </c>
      <c r="M29" s="26" t="e">
        <f>IF(L29="nd","-",L29/$L$24)</f>
        <v>#DIV/0!</v>
      </c>
      <c r="N29" s="25" t="str">
        <f t="shared" ref="N29:N32" si="17">IF(H29=0,"nd",(IF(L29=0,"nd",L29/H29)))</f>
        <v>nd</v>
      </c>
      <c r="O29" s="240">
        <v>0</v>
      </c>
      <c r="P29" s="26" t="e">
        <f t="shared" ref="P29:P32" si="18">IF(O29="nd","-",O29/$O$24)</f>
        <v>#DIV/0!</v>
      </c>
      <c r="Q29" s="27" t="str">
        <f t="shared" ref="Q29:Q37" si="19">IF(L29=0,"nd",(IF(O29=0,"nd",O29/L29)))</f>
        <v>nd</v>
      </c>
      <c r="R29" s="214">
        <v>0</v>
      </c>
      <c r="S29" s="26" t="e">
        <f t="shared" ref="S29:S32" si="20">IF(R29="nd","-",R29/$R$24)</f>
        <v>#DIV/0!</v>
      </c>
      <c r="T29" s="25" t="str">
        <f t="shared" ref="T29:T37" si="21">IF(O29=0,"nd",(IF(R29=0,"nd",R29/O29)))</f>
        <v>nd</v>
      </c>
      <c r="U29" s="214">
        <v>0</v>
      </c>
      <c r="V29" s="26" t="e">
        <f>IF(U29="nd","-",U29/$U$24)</f>
        <v>#DIV/0!</v>
      </c>
      <c r="W29" s="25" t="str">
        <f t="shared" ref="W29:W41" si="22">IF(R29=0,"nd",(IF(U29=0,"nd",U29/R29)))</f>
        <v>nd</v>
      </c>
      <c r="X29" s="12"/>
    </row>
    <row r="30" spans="2:36" ht="14.1" customHeight="1" x14ac:dyDescent="0.3">
      <c r="B30" s="98" t="s">
        <v>41</v>
      </c>
      <c r="C30" s="99" t="s">
        <v>43</v>
      </c>
      <c r="D30" s="411">
        <v>0</v>
      </c>
      <c r="E30" s="412"/>
      <c r="F30" s="100" t="e">
        <f>IF(D30="nd","-",D30/$D$24)</f>
        <v>#DIV/0!</v>
      </c>
      <c r="G30" s="26"/>
      <c r="H30" s="402">
        <v>0</v>
      </c>
      <c r="I30" s="413"/>
      <c r="J30" s="26" t="e">
        <f>IF(H30="nd","-",H30/$H$24)</f>
        <v>#DIV/0!</v>
      </c>
      <c r="K30" s="25" t="str">
        <f t="shared" si="14"/>
        <v>nd</v>
      </c>
      <c r="L30" s="214">
        <v>0</v>
      </c>
      <c r="M30" s="26" t="e">
        <f>IF(L30="nd","-",L30/$L$24)</f>
        <v>#DIV/0!</v>
      </c>
      <c r="N30" s="25" t="str">
        <f t="shared" si="17"/>
        <v>nd</v>
      </c>
      <c r="O30" s="240">
        <v>0</v>
      </c>
      <c r="P30" s="26" t="e">
        <f t="shared" si="18"/>
        <v>#DIV/0!</v>
      </c>
      <c r="Q30" s="27" t="str">
        <f t="shared" si="19"/>
        <v>nd</v>
      </c>
      <c r="R30" s="214">
        <v>0</v>
      </c>
      <c r="S30" s="26" t="e">
        <f t="shared" si="20"/>
        <v>#DIV/0!</v>
      </c>
      <c r="T30" s="25" t="str">
        <f t="shared" si="21"/>
        <v>nd</v>
      </c>
      <c r="U30" s="214">
        <v>0</v>
      </c>
      <c r="V30" s="26" t="e">
        <f t="shared" ref="V30:V31" si="23">IF(U30="nd","-",U30/$U$24)</f>
        <v>#DIV/0!</v>
      </c>
      <c r="W30" s="25" t="str">
        <f t="shared" si="22"/>
        <v>nd</v>
      </c>
      <c r="X30" s="12"/>
    </row>
    <row r="31" spans="2:36" ht="14.1" customHeight="1" x14ac:dyDescent="0.3">
      <c r="B31" s="98" t="s">
        <v>41</v>
      </c>
      <c r="C31" s="99" t="s">
        <v>44</v>
      </c>
      <c r="D31" s="411">
        <v>0</v>
      </c>
      <c r="E31" s="412"/>
      <c r="F31" s="100" t="e">
        <f>IF(D31="nd","-",D31/$D$24)</f>
        <v>#DIV/0!</v>
      </c>
      <c r="G31" s="26"/>
      <c r="H31" s="402">
        <v>0</v>
      </c>
      <c r="I31" s="413"/>
      <c r="J31" s="26" t="e">
        <f>IF(H31="nd","-",H31/$H$24)</f>
        <v>#DIV/0!</v>
      </c>
      <c r="K31" s="25" t="str">
        <f t="shared" si="14"/>
        <v>nd</v>
      </c>
      <c r="L31" s="214">
        <v>0</v>
      </c>
      <c r="M31" s="26" t="e">
        <f>IF(L31="nd","-",L31/$L$24)</f>
        <v>#DIV/0!</v>
      </c>
      <c r="N31" s="25" t="str">
        <f t="shared" si="17"/>
        <v>nd</v>
      </c>
      <c r="O31" s="240">
        <v>0</v>
      </c>
      <c r="P31" s="26" t="e">
        <f t="shared" si="18"/>
        <v>#DIV/0!</v>
      </c>
      <c r="Q31" s="27" t="str">
        <f t="shared" si="19"/>
        <v>nd</v>
      </c>
      <c r="R31" s="214">
        <v>0</v>
      </c>
      <c r="S31" s="26" t="e">
        <f t="shared" si="20"/>
        <v>#DIV/0!</v>
      </c>
      <c r="T31" s="25" t="str">
        <f t="shared" si="21"/>
        <v>nd</v>
      </c>
      <c r="U31" s="214">
        <v>0</v>
      </c>
      <c r="V31" s="26" t="e">
        <f t="shared" si="23"/>
        <v>#DIV/0!</v>
      </c>
      <c r="W31" s="25" t="str">
        <f t="shared" si="22"/>
        <v>nd</v>
      </c>
      <c r="X31" s="12"/>
    </row>
    <row r="32" spans="2:36" ht="14.1" customHeight="1" x14ac:dyDescent="0.3">
      <c r="B32" s="101" t="s">
        <v>41</v>
      </c>
      <c r="C32" s="102" t="s">
        <v>50</v>
      </c>
      <c r="D32" s="425">
        <v>0</v>
      </c>
      <c r="E32" s="401"/>
      <c r="F32" s="103" t="e">
        <f>IF(D32="nd","-",D32/$D$24)</f>
        <v>#DIV/0!</v>
      </c>
      <c r="G32" s="24"/>
      <c r="H32" s="409">
        <v>0</v>
      </c>
      <c r="I32" s="410"/>
      <c r="J32" s="24" t="e">
        <f>IF(H32="nd","-",H32/$H$24)</f>
        <v>#DIV/0!</v>
      </c>
      <c r="K32" s="11" t="str">
        <f t="shared" si="14"/>
        <v>nd</v>
      </c>
      <c r="L32" s="215">
        <v>0</v>
      </c>
      <c r="M32" s="24" t="e">
        <f>IF(L32="nd","-",L32/$L$24)</f>
        <v>#DIV/0!</v>
      </c>
      <c r="N32" s="11" t="str">
        <f t="shared" si="17"/>
        <v>nd</v>
      </c>
      <c r="O32" s="241">
        <v>0</v>
      </c>
      <c r="P32" s="24" t="e">
        <f t="shared" si="18"/>
        <v>#DIV/0!</v>
      </c>
      <c r="Q32" s="11" t="str">
        <f t="shared" si="19"/>
        <v>nd</v>
      </c>
      <c r="R32" s="215">
        <v>0</v>
      </c>
      <c r="S32" s="24" t="e">
        <f t="shared" si="20"/>
        <v>#DIV/0!</v>
      </c>
      <c r="T32" s="25" t="str">
        <f t="shared" si="21"/>
        <v>nd</v>
      </c>
      <c r="U32" s="215">
        <v>0</v>
      </c>
      <c r="V32" s="26" t="e">
        <f>IF(U32="nd","-",U32/$U$24)</f>
        <v>#DIV/0!</v>
      </c>
      <c r="W32" s="25" t="str">
        <f t="shared" si="22"/>
        <v>nd</v>
      </c>
      <c r="X32" s="12"/>
    </row>
    <row r="33" spans="2:26" ht="14.1" customHeight="1" x14ac:dyDescent="0.3">
      <c r="B33" s="74" t="s">
        <v>2</v>
      </c>
      <c r="C33" s="75"/>
      <c r="D33" s="401">
        <v>0</v>
      </c>
      <c r="E33" s="401"/>
      <c r="F33" s="24" t="e">
        <f>D33/$D$24</f>
        <v>#DIV/0!</v>
      </c>
      <c r="G33" s="24"/>
      <c r="H33" s="409">
        <v>0</v>
      </c>
      <c r="I33" s="410"/>
      <c r="J33" s="24" t="e">
        <f t="shared" si="13"/>
        <v>#DIV/0!</v>
      </c>
      <c r="K33" s="11" t="str">
        <f t="shared" si="14"/>
        <v>nd</v>
      </c>
      <c r="L33" s="209">
        <v>0</v>
      </c>
      <c r="M33" s="24" t="e">
        <f t="shared" si="15"/>
        <v>#DIV/0!</v>
      </c>
      <c r="N33" s="11" t="str">
        <f>IF(H33=0,"nd",(IF(L33=0,"nd",L33/H33)))</f>
        <v>nd</v>
      </c>
      <c r="O33" s="241">
        <v>0</v>
      </c>
      <c r="P33" s="24" t="e">
        <f t="shared" si="16"/>
        <v>#DIV/0!</v>
      </c>
      <c r="Q33" s="11" t="str">
        <f t="shared" si="19"/>
        <v>nd</v>
      </c>
      <c r="R33" s="215">
        <v>0</v>
      </c>
      <c r="S33" s="24" t="e">
        <f t="shared" ref="S33:S40" si="24">R33/$R$24</f>
        <v>#DIV/0!</v>
      </c>
      <c r="T33" s="25" t="str">
        <f t="shared" si="21"/>
        <v>nd</v>
      </c>
      <c r="U33" s="215">
        <v>0</v>
      </c>
      <c r="V33" s="24" t="e">
        <f>U33/$U$24</f>
        <v>#DIV/0!</v>
      </c>
      <c r="W33" s="25" t="str">
        <f t="shared" si="22"/>
        <v>nd</v>
      </c>
      <c r="X33" s="12"/>
    </row>
    <row r="34" spans="2:26" ht="12.75" customHeight="1" x14ac:dyDescent="0.3">
      <c r="B34" s="104" t="s">
        <v>3</v>
      </c>
      <c r="C34" s="105"/>
      <c r="D34" s="421">
        <f>SUM(D35:E37)</f>
        <v>0</v>
      </c>
      <c r="E34" s="421"/>
      <c r="F34" s="26" t="e">
        <f>D34/$D$24</f>
        <v>#DIV/0!</v>
      </c>
      <c r="G34" s="26"/>
      <c r="H34" s="422">
        <f>SUM(H35:I37)</f>
        <v>0</v>
      </c>
      <c r="I34" s="423"/>
      <c r="J34" s="26" t="e">
        <f t="shared" si="13"/>
        <v>#DIV/0!</v>
      </c>
      <c r="K34" s="25" t="str">
        <f t="shared" si="14"/>
        <v>nd</v>
      </c>
      <c r="L34" s="216">
        <f>SUM(L35:L37)</f>
        <v>0</v>
      </c>
      <c r="M34" s="26" t="e">
        <f t="shared" si="15"/>
        <v>#DIV/0!</v>
      </c>
      <c r="N34" s="27" t="str">
        <f>IF(H34=0,"nd",(IF(L34=0,"nd",L34/H34)))</f>
        <v>nd</v>
      </c>
      <c r="O34" s="242">
        <f>SUM(O35:O37)</f>
        <v>0</v>
      </c>
      <c r="P34" s="26" t="e">
        <f t="shared" si="16"/>
        <v>#DIV/0!</v>
      </c>
      <c r="Q34" s="27" t="str">
        <f t="shared" si="19"/>
        <v>nd</v>
      </c>
      <c r="R34" s="216">
        <f>SUM(R35:R37)</f>
        <v>0</v>
      </c>
      <c r="S34" s="26" t="e">
        <f t="shared" si="24"/>
        <v>#DIV/0!</v>
      </c>
      <c r="T34" s="25" t="str">
        <f t="shared" si="21"/>
        <v>nd</v>
      </c>
      <c r="U34" s="216">
        <f>SUM(U35:U37)</f>
        <v>0</v>
      </c>
      <c r="V34" s="26" t="e">
        <f>U34/$U$24</f>
        <v>#DIV/0!</v>
      </c>
      <c r="W34" s="25" t="str">
        <f t="shared" si="22"/>
        <v>nd</v>
      </c>
      <c r="X34" s="12"/>
    </row>
    <row r="35" spans="2:26" ht="14.1" customHeight="1" x14ac:dyDescent="0.3">
      <c r="B35" s="98" t="s">
        <v>41</v>
      </c>
      <c r="C35" s="105" t="s">
        <v>10</v>
      </c>
      <c r="D35" s="424">
        <v>0</v>
      </c>
      <c r="E35" s="424"/>
      <c r="F35" s="26" t="e">
        <f>IF(D35="nd","-",D35/$D$24)</f>
        <v>#DIV/0!</v>
      </c>
      <c r="G35" s="26"/>
      <c r="H35" s="402">
        <v>0</v>
      </c>
      <c r="I35" s="403"/>
      <c r="J35" s="26" t="e">
        <f>IF(H35="nd","-",H35/$H$24)</f>
        <v>#DIV/0!</v>
      </c>
      <c r="K35" s="25" t="str">
        <f t="shared" si="14"/>
        <v>nd</v>
      </c>
      <c r="L35" s="214">
        <v>0</v>
      </c>
      <c r="M35" s="26" t="e">
        <f>IF(L35="nd","-",L35/$L$24)</f>
        <v>#DIV/0!</v>
      </c>
      <c r="N35" s="27" t="str">
        <f t="shared" ref="N35:N37" si="25">IF(H35=0,"nd",(IF(L35=0,"nd",L35/H35)))</f>
        <v>nd</v>
      </c>
      <c r="O35" s="240">
        <v>0</v>
      </c>
      <c r="P35" s="26" t="e">
        <f>IF(O35="nd","-",O35/$O$24)</f>
        <v>#DIV/0!</v>
      </c>
      <c r="Q35" s="27" t="str">
        <f t="shared" si="19"/>
        <v>nd</v>
      </c>
      <c r="R35" s="214">
        <v>0</v>
      </c>
      <c r="S35" s="26" t="e">
        <f t="shared" ref="S35:S37" si="26">IF(R35="nd","-",R35/$R$24)</f>
        <v>#DIV/0!</v>
      </c>
      <c r="T35" s="25" t="str">
        <f t="shared" si="21"/>
        <v>nd</v>
      </c>
      <c r="U35" s="214">
        <v>0</v>
      </c>
      <c r="V35" s="26" t="e">
        <f t="shared" ref="V35:V37" si="27">IF(U35="nd","-",U35/$U$24)</f>
        <v>#DIV/0!</v>
      </c>
      <c r="W35" s="25" t="str">
        <f t="shared" si="22"/>
        <v>nd</v>
      </c>
      <c r="X35" s="12"/>
      <c r="Z35" s="106"/>
    </row>
    <row r="36" spans="2:26" ht="14.1" customHeight="1" x14ac:dyDescent="0.3">
      <c r="B36" s="98" t="s">
        <v>41</v>
      </c>
      <c r="C36" s="105" t="s">
        <v>11</v>
      </c>
      <c r="D36" s="424">
        <v>0</v>
      </c>
      <c r="E36" s="424"/>
      <c r="F36" s="26" t="e">
        <f>IF(D36="nd","-",D36/$D$24)</f>
        <v>#DIV/0!</v>
      </c>
      <c r="G36" s="26"/>
      <c r="H36" s="402">
        <v>0</v>
      </c>
      <c r="I36" s="403"/>
      <c r="J36" s="26" t="e">
        <f>IF(H36="nd","-",H36/$H$24)</f>
        <v>#DIV/0!</v>
      </c>
      <c r="K36" s="25" t="str">
        <f t="shared" si="14"/>
        <v>nd</v>
      </c>
      <c r="L36" s="214">
        <v>0</v>
      </c>
      <c r="M36" s="26" t="e">
        <f>IF(L36="nd","-",L36/$L$24)</f>
        <v>#DIV/0!</v>
      </c>
      <c r="N36" s="27" t="str">
        <f t="shared" si="25"/>
        <v>nd</v>
      </c>
      <c r="O36" s="240">
        <v>0</v>
      </c>
      <c r="P36" s="26" t="e">
        <f t="shared" ref="P36:P37" si="28">IF(O36="nd","-",O36/$O$24)</f>
        <v>#DIV/0!</v>
      </c>
      <c r="Q36" s="27" t="str">
        <f t="shared" si="19"/>
        <v>nd</v>
      </c>
      <c r="R36" s="214">
        <v>0</v>
      </c>
      <c r="S36" s="26" t="e">
        <f t="shared" si="26"/>
        <v>#DIV/0!</v>
      </c>
      <c r="T36" s="25" t="str">
        <f t="shared" si="21"/>
        <v>nd</v>
      </c>
      <c r="U36" s="214">
        <v>0</v>
      </c>
      <c r="V36" s="26" t="e">
        <f t="shared" si="27"/>
        <v>#DIV/0!</v>
      </c>
      <c r="W36" s="25" t="str">
        <f t="shared" si="22"/>
        <v>nd</v>
      </c>
      <c r="X36" s="12"/>
    </row>
    <row r="37" spans="2:26" ht="14.1" customHeight="1" x14ac:dyDescent="0.3">
      <c r="B37" s="101" t="s">
        <v>41</v>
      </c>
      <c r="C37" s="107" t="s">
        <v>4</v>
      </c>
      <c r="D37" s="401">
        <v>0</v>
      </c>
      <c r="E37" s="401"/>
      <c r="F37" s="24" t="e">
        <f>IF(D37="nd","-",D37/$D$24)</f>
        <v>#DIV/0!</v>
      </c>
      <c r="G37" s="26"/>
      <c r="H37" s="402">
        <v>0</v>
      </c>
      <c r="I37" s="403"/>
      <c r="J37" s="24" t="e">
        <f>IF(H37="nd","-",H37/$H$24)</f>
        <v>#DIV/0!</v>
      </c>
      <c r="K37" s="25" t="str">
        <f t="shared" si="14"/>
        <v>nd</v>
      </c>
      <c r="L37" s="214">
        <v>0</v>
      </c>
      <c r="M37" s="24" t="e">
        <f>IF(L37="nd","-",L37/$L$24)</f>
        <v>#DIV/0!</v>
      </c>
      <c r="N37" s="27" t="str">
        <f t="shared" si="25"/>
        <v>nd</v>
      </c>
      <c r="O37" s="240">
        <v>0</v>
      </c>
      <c r="P37" s="24" t="e">
        <f t="shared" si="28"/>
        <v>#DIV/0!</v>
      </c>
      <c r="Q37" s="27" t="str">
        <f t="shared" si="19"/>
        <v>nd</v>
      </c>
      <c r="R37" s="214">
        <v>0</v>
      </c>
      <c r="S37" s="24" t="e">
        <f t="shared" si="26"/>
        <v>#DIV/0!</v>
      </c>
      <c r="T37" s="25" t="str">
        <f t="shared" si="21"/>
        <v>nd</v>
      </c>
      <c r="U37" s="214">
        <v>0</v>
      </c>
      <c r="V37" s="26" t="e">
        <f t="shared" si="27"/>
        <v>#DIV/0!</v>
      </c>
      <c r="W37" s="25" t="str">
        <f t="shared" si="22"/>
        <v>nd</v>
      </c>
      <c r="X37" s="12"/>
    </row>
    <row r="38" spans="2:26" ht="14.1" customHeight="1" x14ac:dyDescent="0.3">
      <c r="B38" s="74" t="s">
        <v>17</v>
      </c>
      <c r="C38" s="108"/>
      <c r="D38" s="404">
        <v>0</v>
      </c>
      <c r="E38" s="404"/>
      <c r="F38" s="28" t="e">
        <f>D38/$D$24</f>
        <v>#DIV/0!</v>
      </c>
      <c r="G38" s="28"/>
      <c r="H38" s="405">
        <v>0</v>
      </c>
      <c r="I38" s="406"/>
      <c r="J38" s="28" t="e">
        <f t="shared" ref="J38:J40" si="29">H38/$H$24</f>
        <v>#DIV/0!</v>
      </c>
      <c r="K38" s="10" t="str">
        <f t="shared" si="14"/>
        <v>nd</v>
      </c>
      <c r="L38" s="209">
        <v>0</v>
      </c>
      <c r="M38" s="28" t="e">
        <f t="shared" ref="M38:M40" si="30">L38/$L$24</f>
        <v>#DIV/0!</v>
      </c>
      <c r="N38" s="10" t="str">
        <f t="shared" ref="N38:N41" si="31">IF(H38=0,"nd",(IF(L38=0,"nd",L38/H38)))</f>
        <v>nd</v>
      </c>
      <c r="O38" s="243">
        <v>0</v>
      </c>
      <c r="P38" s="28" t="e">
        <f t="shared" ref="P38:P40" si="32">O38/$O$24</f>
        <v>#DIV/0!</v>
      </c>
      <c r="Q38" s="10" t="str">
        <f t="shared" ref="Q38:Q41" si="33">IF(L38=0,"nd",(IF(O38=0,"nd",O38/L38)))</f>
        <v>nd</v>
      </c>
      <c r="R38" s="209">
        <v>0</v>
      </c>
      <c r="S38" s="28" t="e">
        <f t="shared" si="24"/>
        <v>#DIV/0!</v>
      </c>
      <c r="T38" s="25" t="str">
        <f t="shared" ref="T38:T41" si="34">IF(O38=0,"nd",(IF(R38=0,"nd",R38/O38)))</f>
        <v>nd</v>
      </c>
      <c r="U38" s="209">
        <v>0</v>
      </c>
      <c r="V38" s="28" t="e">
        <f>U38/$U$24</f>
        <v>#DIV/0!</v>
      </c>
      <c r="W38" s="25" t="str">
        <f t="shared" si="22"/>
        <v>nd</v>
      </c>
      <c r="X38" s="12"/>
    </row>
    <row r="39" spans="2:26" ht="14.1" customHeight="1" x14ac:dyDescent="0.3">
      <c r="B39" s="407" t="s">
        <v>24</v>
      </c>
      <c r="C39" s="408"/>
      <c r="D39" s="404">
        <v>0</v>
      </c>
      <c r="E39" s="404"/>
      <c r="F39" s="28" t="e">
        <f>D39/$D$24</f>
        <v>#DIV/0!</v>
      </c>
      <c r="G39" s="24"/>
      <c r="H39" s="409">
        <v>0</v>
      </c>
      <c r="I39" s="410"/>
      <c r="J39" s="28" t="e">
        <f t="shared" si="29"/>
        <v>#DIV/0!</v>
      </c>
      <c r="K39" s="11" t="str">
        <f t="shared" si="14"/>
        <v>nd</v>
      </c>
      <c r="L39" s="215">
        <v>0</v>
      </c>
      <c r="M39" s="28" t="e">
        <f t="shared" si="30"/>
        <v>#DIV/0!</v>
      </c>
      <c r="N39" s="11" t="str">
        <f t="shared" si="31"/>
        <v>nd</v>
      </c>
      <c r="O39" s="241">
        <v>0</v>
      </c>
      <c r="P39" s="28" t="e">
        <f t="shared" si="32"/>
        <v>#DIV/0!</v>
      </c>
      <c r="Q39" s="11" t="str">
        <f t="shared" si="33"/>
        <v>nd</v>
      </c>
      <c r="R39" s="215">
        <v>0</v>
      </c>
      <c r="S39" s="28" t="e">
        <f t="shared" si="24"/>
        <v>#DIV/0!</v>
      </c>
      <c r="T39" s="25" t="str">
        <f t="shared" si="34"/>
        <v>nd</v>
      </c>
      <c r="U39" s="215">
        <v>0</v>
      </c>
      <c r="V39" s="28" t="e">
        <f>U39/$U$24</f>
        <v>#DIV/0!</v>
      </c>
      <c r="W39" s="25" t="str">
        <f t="shared" si="22"/>
        <v>nd</v>
      </c>
      <c r="X39" s="12"/>
    </row>
    <row r="40" spans="2:26" ht="14.1" customHeight="1" x14ac:dyDescent="0.3">
      <c r="B40" s="87" t="s">
        <v>51</v>
      </c>
      <c r="C40" s="14"/>
      <c r="D40" s="417">
        <v>0</v>
      </c>
      <c r="E40" s="417"/>
      <c r="F40" s="29" t="e">
        <f>D40/$D$24</f>
        <v>#DIV/0!</v>
      </c>
      <c r="G40" s="29"/>
      <c r="H40" s="418">
        <v>0</v>
      </c>
      <c r="I40" s="419"/>
      <c r="J40" s="29" t="e">
        <f t="shared" si="29"/>
        <v>#DIV/0!</v>
      </c>
      <c r="K40" s="17" t="str">
        <f t="shared" si="14"/>
        <v>nd</v>
      </c>
      <c r="L40" s="217">
        <v>0</v>
      </c>
      <c r="M40" s="29" t="e">
        <f t="shared" si="30"/>
        <v>#DIV/0!</v>
      </c>
      <c r="N40" s="17" t="str">
        <f t="shared" si="31"/>
        <v>nd</v>
      </c>
      <c r="O40" s="244">
        <v>0</v>
      </c>
      <c r="P40" s="29" t="e">
        <f t="shared" si="32"/>
        <v>#DIV/0!</v>
      </c>
      <c r="Q40" s="17" t="str">
        <f t="shared" si="33"/>
        <v>nd</v>
      </c>
      <c r="R40" s="217">
        <v>0</v>
      </c>
      <c r="S40" s="29" t="e">
        <f t="shared" si="24"/>
        <v>#DIV/0!</v>
      </c>
      <c r="T40" s="17" t="str">
        <f t="shared" si="34"/>
        <v>nd</v>
      </c>
      <c r="U40" s="217">
        <v>0</v>
      </c>
      <c r="V40" s="28" t="e">
        <f>U40/$U$24</f>
        <v>#DIV/0!</v>
      </c>
      <c r="W40" s="17" t="str">
        <f t="shared" si="22"/>
        <v>nd</v>
      </c>
      <c r="X40" s="12"/>
    </row>
    <row r="41" spans="2:26" ht="14.1" customHeight="1" x14ac:dyDescent="0.3">
      <c r="B41" s="53"/>
      <c r="C41" s="109" t="s">
        <v>26</v>
      </c>
      <c r="D41" s="392">
        <f>D28+D33+D34+D38+D39+D40</f>
        <v>0</v>
      </c>
      <c r="E41" s="392"/>
      <c r="F41" s="30" t="e">
        <f>D41/D24</f>
        <v>#DIV/0!</v>
      </c>
      <c r="G41" s="30"/>
      <c r="H41" s="393">
        <f>H28+H33+H34+H38+H39+H40</f>
        <v>0</v>
      </c>
      <c r="I41" s="394"/>
      <c r="J41" s="30" t="e">
        <f>H41/H24</f>
        <v>#DIV/0!</v>
      </c>
      <c r="K41" s="31" t="str">
        <f t="shared" si="14"/>
        <v>nd</v>
      </c>
      <c r="L41" s="218">
        <f>L28+L33+L34+L38+L39+L40</f>
        <v>0</v>
      </c>
      <c r="M41" s="30" t="e">
        <f>L41/L24</f>
        <v>#DIV/0!</v>
      </c>
      <c r="N41" s="31" t="str">
        <f t="shared" si="31"/>
        <v>nd</v>
      </c>
      <c r="O41" s="245">
        <f>O28+O33+O34+O38+O39+O40</f>
        <v>0</v>
      </c>
      <c r="P41" s="30" t="e">
        <f>O41/O24</f>
        <v>#DIV/0!</v>
      </c>
      <c r="Q41" s="31" t="str">
        <f t="shared" si="33"/>
        <v>nd</v>
      </c>
      <c r="R41" s="218">
        <f>R28+R33+R34+R38+R39+R40</f>
        <v>0</v>
      </c>
      <c r="S41" s="30" t="e">
        <f>R41/R24</f>
        <v>#DIV/0!</v>
      </c>
      <c r="T41" s="31" t="str">
        <f t="shared" si="34"/>
        <v>nd</v>
      </c>
      <c r="U41" s="218">
        <f>U28+U33+U34+U38+U39+U40</f>
        <v>0</v>
      </c>
      <c r="V41" s="30" t="e">
        <f>U41/U24</f>
        <v>#DIV/0!</v>
      </c>
      <c r="W41" s="31" t="str">
        <f t="shared" si="22"/>
        <v>nd</v>
      </c>
      <c r="X41" s="110"/>
    </row>
    <row r="42" spans="2:26" ht="9" customHeight="1" x14ac:dyDescent="0.3">
      <c r="C42" s="111"/>
      <c r="D42" s="207"/>
      <c r="E42" s="207"/>
      <c r="F42" s="112"/>
      <c r="G42" s="112"/>
    </row>
    <row r="43" spans="2:26" ht="29.25" customHeight="1" x14ac:dyDescent="0.3">
      <c r="B43" s="356" t="s">
        <v>40</v>
      </c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95"/>
      <c r="N43" s="395"/>
      <c r="O43" s="395"/>
      <c r="P43" s="395"/>
      <c r="Q43" s="395"/>
      <c r="R43" s="396"/>
      <c r="S43" s="396"/>
      <c r="T43" s="113"/>
      <c r="U43" s="113"/>
      <c r="V43" s="113"/>
      <c r="W43" s="113"/>
      <c r="X43" s="114"/>
    </row>
    <row r="44" spans="2:26" ht="9" customHeight="1" x14ac:dyDescent="0.3">
      <c r="B44" s="50"/>
      <c r="C44" s="50"/>
      <c r="D44" s="212"/>
      <c r="E44" s="212"/>
      <c r="F44" s="50"/>
      <c r="G44" s="50"/>
      <c r="H44" s="212"/>
      <c r="I44" s="212"/>
      <c r="J44" s="50"/>
      <c r="K44" s="50"/>
      <c r="L44" s="212"/>
    </row>
    <row r="45" spans="2:26" ht="6" customHeight="1" x14ac:dyDescent="0.3">
      <c r="B45" s="115"/>
      <c r="C45" s="115"/>
      <c r="D45" s="223"/>
      <c r="E45" s="223"/>
      <c r="F45" s="115"/>
      <c r="G45" s="115"/>
      <c r="H45" s="223"/>
      <c r="I45" s="223"/>
      <c r="J45" s="115"/>
      <c r="K45" s="115"/>
      <c r="L45" s="223"/>
      <c r="M45" s="116"/>
      <c r="N45" s="116"/>
      <c r="O45" s="219"/>
      <c r="P45" s="116"/>
      <c r="Q45" s="116"/>
      <c r="R45" s="219"/>
      <c r="S45" s="116"/>
      <c r="T45" s="116"/>
      <c r="U45" s="219"/>
      <c r="V45" s="116"/>
      <c r="W45" s="116"/>
    </row>
    <row r="46" spans="2:26" ht="12.75" customHeight="1" x14ac:dyDescent="0.3">
      <c r="B46" s="323" t="s">
        <v>29</v>
      </c>
      <c r="C46" s="323"/>
      <c r="D46" s="397">
        <f>D24-D41</f>
        <v>0</v>
      </c>
      <c r="E46" s="398"/>
      <c r="F46" s="32" t="e">
        <f>D46/D24</f>
        <v>#DIV/0!</v>
      </c>
      <c r="G46" s="32"/>
      <c r="H46" s="399">
        <f>H24-H41</f>
        <v>0</v>
      </c>
      <c r="I46" s="400"/>
      <c r="J46" s="33" t="e">
        <f>H46/H24</f>
        <v>#DIV/0!</v>
      </c>
      <c r="K46" s="33"/>
      <c r="L46" s="220">
        <f>L24-L41</f>
        <v>0</v>
      </c>
      <c r="M46" s="32" t="e">
        <f>L46/L24</f>
        <v>#DIV/0!</v>
      </c>
      <c r="N46" s="32"/>
      <c r="O46" s="246">
        <f>O24-O41</f>
        <v>0</v>
      </c>
      <c r="P46" s="33" t="e">
        <f>O46/O24</f>
        <v>#DIV/0!</v>
      </c>
      <c r="Q46" s="33"/>
      <c r="R46" s="220">
        <f>R24-R41</f>
        <v>0</v>
      </c>
      <c r="S46" s="32" t="e">
        <f>R46/R24</f>
        <v>#DIV/0!</v>
      </c>
      <c r="T46" s="32"/>
      <c r="U46" s="220">
        <f>U24-U41</f>
        <v>0</v>
      </c>
      <c r="V46" s="32" t="e">
        <f>U46/U24</f>
        <v>#DIV/0!</v>
      </c>
      <c r="W46" s="32"/>
      <c r="X46" s="33"/>
    </row>
    <row r="47" spans="2:26" ht="6" customHeight="1" x14ac:dyDescent="0.3">
      <c r="B47" s="118"/>
      <c r="C47" s="118"/>
      <c r="D47" s="224"/>
      <c r="E47" s="224"/>
      <c r="F47" s="119"/>
      <c r="G47" s="119"/>
      <c r="H47" s="224"/>
      <c r="I47" s="224"/>
      <c r="J47" s="119"/>
      <c r="K47" s="119"/>
      <c r="L47" s="255"/>
      <c r="M47" s="77"/>
      <c r="N47" s="77"/>
      <c r="O47" s="221"/>
      <c r="P47" s="77"/>
      <c r="Q47" s="77"/>
      <c r="R47" s="221"/>
      <c r="S47" s="77"/>
      <c r="T47" s="77"/>
      <c r="U47" s="221"/>
      <c r="V47" s="77"/>
      <c r="W47" s="77"/>
    </row>
    <row r="48" spans="2:26" ht="9" customHeight="1" x14ac:dyDescent="0.3">
      <c r="B48" s="53"/>
      <c r="C48" s="120"/>
      <c r="D48" s="256"/>
      <c r="E48" s="256"/>
      <c r="F48" s="121"/>
      <c r="G48" s="121"/>
      <c r="H48" s="256"/>
      <c r="I48" s="256"/>
      <c r="J48" s="121"/>
      <c r="K48" s="121"/>
      <c r="L48" s="212"/>
    </row>
    <row r="49" spans="2:26" ht="15" customHeight="1" x14ac:dyDescent="0.3">
      <c r="B49" s="356" t="s">
        <v>33</v>
      </c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8"/>
      <c r="N49" s="358"/>
      <c r="O49" s="358"/>
      <c r="P49" s="358"/>
      <c r="Q49" s="358"/>
      <c r="R49" s="359"/>
      <c r="S49" s="359"/>
      <c r="T49" s="52"/>
      <c r="U49" s="52"/>
      <c r="V49" s="52"/>
      <c r="W49" s="52"/>
    </row>
    <row r="50" spans="2:26" ht="6.75" customHeight="1" x14ac:dyDescent="0.3">
      <c r="B50" s="53"/>
      <c r="C50" s="120"/>
      <c r="D50" s="256"/>
      <c r="E50" s="268"/>
      <c r="F50" s="121"/>
      <c r="G50" s="121"/>
      <c r="H50" s="256"/>
      <c r="I50" s="256"/>
      <c r="J50" s="121"/>
      <c r="K50" s="121"/>
      <c r="L50" s="212"/>
    </row>
    <row r="51" spans="2:26" ht="14.1" customHeight="1" x14ac:dyDescent="0.3">
      <c r="B51" s="118" t="s">
        <v>18</v>
      </c>
      <c r="C51" s="123"/>
      <c r="D51" s="386"/>
      <c r="E51" s="387"/>
      <c r="F51" s="119"/>
      <c r="G51" s="119"/>
      <c r="H51" s="388"/>
      <c r="I51" s="389"/>
      <c r="J51" s="389"/>
      <c r="K51" s="389"/>
      <c r="L51" s="389"/>
      <c r="M51" s="77"/>
      <c r="N51" s="77"/>
      <c r="T51" s="77"/>
      <c r="W51" s="77"/>
    </row>
    <row r="52" spans="2:26" ht="14.1" customHeight="1" x14ac:dyDescent="0.3">
      <c r="B52" s="124" t="s">
        <v>14</v>
      </c>
      <c r="D52" s="348">
        <v>0</v>
      </c>
      <c r="E52" s="349"/>
      <c r="F52" s="279"/>
      <c r="G52" s="280"/>
      <c r="H52" s="390">
        <v>0</v>
      </c>
      <c r="I52" s="391"/>
      <c r="J52" s="391"/>
      <c r="K52" s="282"/>
      <c r="L52" s="312">
        <v>0</v>
      </c>
      <c r="M52" s="313"/>
      <c r="N52" s="279"/>
      <c r="O52" s="390">
        <v>0</v>
      </c>
      <c r="P52" s="391"/>
      <c r="Q52" s="281"/>
      <c r="R52" s="312">
        <v>0</v>
      </c>
      <c r="S52" s="313"/>
      <c r="T52" s="126"/>
      <c r="U52" s="312">
        <v>0</v>
      </c>
      <c r="V52" s="313"/>
      <c r="W52" s="126"/>
      <c r="X52" s="127"/>
      <c r="Y52" s="121"/>
      <c r="Z52" s="121"/>
    </row>
    <row r="53" spans="2:26" ht="14.1" customHeight="1" x14ac:dyDescent="0.3">
      <c r="B53" s="124" t="s">
        <v>15</v>
      </c>
      <c r="D53" s="348">
        <v>0</v>
      </c>
      <c r="E53" s="349"/>
      <c r="F53" s="279"/>
      <c r="G53" s="283"/>
      <c r="H53" s="354">
        <v>0</v>
      </c>
      <c r="I53" s="355"/>
      <c r="J53" s="355"/>
      <c r="K53" s="285"/>
      <c r="L53" s="314">
        <v>0</v>
      </c>
      <c r="M53" s="315"/>
      <c r="N53" s="279"/>
      <c r="O53" s="354">
        <v>0</v>
      </c>
      <c r="P53" s="355"/>
      <c r="Q53" s="284"/>
      <c r="R53" s="314">
        <v>0</v>
      </c>
      <c r="S53" s="315"/>
      <c r="T53" s="126"/>
      <c r="U53" s="314">
        <v>0</v>
      </c>
      <c r="V53" s="315"/>
      <c r="W53" s="126"/>
      <c r="X53" s="127"/>
      <c r="Y53" s="121"/>
      <c r="Z53" s="121"/>
    </row>
    <row r="54" spans="2:26" ht="14.1" customHeight="1" x14ac:dyDescent="0.3">
      <c r="B54" s="124" t="s">
        <v>16</v>
      </c>
      <c r="D54" s="348">
        <v>0</v>
      </c>
      <c r="E54" s="349"/>
      <c r="F54" s="279"/>
      <c r="G54" s="283"/>
      <c r="H54" s="354">
        <v>0</v>
      </c>
      <c r="I54" s="355"/>
      <c r="J54" s="355"/>
      <c r="K54" s="285"/>
      <c r="L54" s="314">
        <v>0</v>
      </c>
      <c r="M54" s="315"/>
      <c r="N54" s="279"/>
      <c r="O54" s="354">
        <v>0</v>
      </c>
      <c r="P54" s="355"/>
      <c r="Q54" s="284"/>
      <c r="R54" s="314">
        <v>0</v>
      </c>
      <c r="S54" s="315"/>
      <c r="T54" s="126"/>
      <c r="U54" s="314">
        <v>0</v>
      </c>
      <c r="V54" s="315"/>
      <c r="W54" s="126"/>
      <c r="X54" s="127"/>
      <c r="Y54" s="121"/>
      <c r="Z54" s="121"/>
    </row>
    <row r="55" spans="2:26" ht="14.1" customHeight="1" x14ac:dyDescent="0.3">
      <c r="B55" s="129" t="s">
        <v>35</v>
      </c>
      <c r="D55" s="348">
        <v>0</v>
      </c>
      <c r="E55" s="349"/>
      <c r="F55" s="279"/>
      <c r="G55" s="283"/>
      <c r="H55" s="354">
        <v>0</v>
      </c>
      <c r="I55" s="385"/>
      <c r="J55" s="385"/>
      <c r="K55" s="287"/>
      <c r="L55" s="314">
        <v>0</v>
      </c>
      <c r="M55" s="316"/>
      <c r="N55" s="279"/>
      <c r="O55" s="354">
        <v>0</v>
      </c>
      <c r="P55" s="385"/>
      <c r="Q55" s="286"/>
      <c r="R55" s="314">
        <v>0</v>
      </c>
      <c r="S55" s="316"/>
      <c r="T55" s="126"/>
      <c r="U55" s="314">
        <v>0</v>
      </c>
      <c r="V55" s="316"/>
      <c r="W55" s="126"/>
      <c r="X55" s="125"/>
      <c r="Y55" s="121"/>
      <c r="Z55" s="121"/>
    </row>
    <row r="56" spans="2:26" ht="14.1" customHeight="1" x14ac:dyDescent="0.3">
      <c r="B56" s="124" t="s">
        <v>34</v>
      </c>
      <c r="D56" s="348">
        <v>0</v>
      </c>
      <c r="E56" s="349"/>
      <c r="F56" s="279"/>
      <c r="G56" s="283"/>
      <c r="H56" s="354">
        <v>0</v>
      </c>
      <c r="I56" s="355"/>
      <c r="J56" s="355"/>
      <c r="K56" s="285"/>
      <c r="L56" s="314">
        <v>0</v>
      </c>
      <c r="M56" s="315"/>
      <c r="N56" s="279"/>
      <c r="O56" s="354">
        <v>0</v>
      </c>
      <c r="P56" s="355"/>
      <c r="Q56" s="284"/>
      <c r="R56" s="314">
        <v>0</v>
      </c>
      <c r="S56" s="315"/>
      <c r="T56" s="126"/>
      <c r="U56" s="314">
        <v>0</v>
      </c>
      <c r="V56" s="315"/>
      <c r="W56" s="126"/>
      <c r="X56" s="127"/>
      <c r="Y56" s="121"/>
      <c r="Z56" s="121"/>
    </row>
    <row r="57" spans="2:26" ht="14.1" customHeight="1" x14ac:dyDescent="0.3">
      <c r="B57" s="130" t="s">
        <v>12</v>
      </c>
      <c r="C57" s="77"/>
      <c r="D57" s="350">
        <v>0</v>
      </c>
      <c r="E57" s="351"/>
      <c r="F57" s="288"/>
      <c r="G57" s="289"/>
      <c r="H57" s="378">
        <v>0</v>
      </c>
      <c r="I57" s="379"/>
      <c r="J57" s="379"/>
      <c r="K57" s="291"/>
      <c r="L57" s="317">
        <v>0</v>
      </c>
      <c r="M57" s="318"/>
      <c r="N57" s="288"/>
      <c r="O57" s="378">
        <v>0</v>
      </c>
      <c r="P57" s="379"/>
      <c r="Q57" s="290"/>
      <c r="R57" s="317">
        <v>0</v>
      </c>
      <c r="S57" s="318"/>
      <c r="T57" s="131"/>
      <c r="U57" s="317">
        <v>0</v>
      </c>
      <c r="V57" s="318"/>
      <c r="W57" s="131"/>
      <c r="X57" s="127"/>
      <c r="Y57" s="121"/>
      <c r="Z57" s="121"/>
    </row>
    <row r="58" spans="2:26" ht="14.1" customHeight="1" x14ac:dyDescent="0.3">
      <c r="B58" s="380" t="s">
        <v>27</v>
      </c>
      <c r="C58" s="353"/>
      <c r="D58" s="381">
        <f>SUM(D52:E57)</f>
        <v>0</v>
      </c>
      <c r="E58" s="382"/>
      <c r="F58" s="34" t="e">
        <f>D58/D24</f>
        <v>#DIV/0!</v>
      </c>
      <c r="G58" s="35"/>
      <c r="H58" s="383">
        <f>SUM(H52:I57)</f>
        <v>0</v>
      </c>
      <c r="I58" s="384"/>
      <c r="J58" s="36" t="e">
        <f>H58/H24</f>
        <v>#DIV/0!</v>
      </c>
      <c r="K58" s="37"/>
      <c r="L58" s="222">
        <f>SUM(L52:M57)</f>
        <v>0</v>
      </c>
      <c r="M58" s="38" t="e">
        <f>L58/L24</f>
        <v>#DIV/0!</v>
      </c>
      <c r="N58" s="126"/>
      <c r="O58" s="247">
        <f>SUM(O52:P57)</f>
        <v>0</v>
      </c>
      <c r="P58" s="39" t="e">
        <f>O58/O24</f>
        <v>#DIV/0!</v>
      </c>
      <c r="Q58" s="39"/>
      <c r="R58" s="222">
        <f>SUM(R52:S57)</f>
        <v>0</v>
      </c>
      <c r="S58" s="38" t="e">
        <f>R58/R24</f>
        <v>#DIV/0!</v>
      </c>
      <c r="T58" s="126"/>
      <c r="U58" s="222">
        <f>SUM(U52:V57)</f>
        <v>0</v>
      </c>
      <c r="V58" s="38" t="e">
        <f>U58/U24</f>
        <v>#DIV/0!</v>
      </c>
      <c r="W58" s="126"/>
      <c r="X58" s="50"/>
      <c r="Y58" s="121"/>
      <c r="Z58" s="121"/>
    </row>
    <row r="59" spans="2:26" ht="9" customHeight="1" x14ac:dyDescent="0.3">
      <c r="B59" s="53"/>
      <c r="C59" s="120"/>
      <c r="D59" s="373"/>
      <c r="E59" s="374"/>
      <c r="F59" s="121"/>
      <c r="G59" s="121"/>
      <c r="H59" s="256"/>
      <c r="I59" s="256"/>
      <c r="J59" s="121"/>
      <c r="K59" s="121"/>
      <c r="L59" s="212"/>
      <c r="M59" s="122"/>
      <c r="N59" s="122"/>
      <c r="R59" s="212"/>
      <c r="S59" s="122"/>
      <c r="T59" s="122"/>
      <c r="U59" s="212"/>
      <c r="V59" s="122"/>
      <c r="W59" s="122"/>
    </row>
    <row r="60" spans="2:26" ht="6" customHeight="1" x14ac:dyDescent="0.3">
      <c r="B60" s="133"/>
      <c r="C60" s="134"/>
      <c r="D60" s="257"/>
      <c r="E60" s="269"/>
      <c r="F60" s="135"/>
      <c r="G60" s="135"/>
      <c r="H60" s="257"/>
      <c r="I60" s="257"/>
      <c r="J60" s="135"/>
      <c r="K60" s="135"/>
      <c r="L60" s="223"/>
      <c r="M60" s="136"/>
      <c r="N60" s="136"/>
      <c r="O60" s="219"/>
      <c r="P60" s="116"/>
      <c r="Q60" s="116"/>
      <c r="R60" s="223"/>
      <c r="S60" s="136"/>
      <c r="T60" s="136"/>
      <c r="U60" s="223"/>
      <c r="V60" s="136"/>
      <c r="W60" s="136"/>
    </row>
    <row r="61" spans="2:26" ht="13.5" customHeight="1" x14ac:dyDescent="0.3">
      <c r="B61" s="137" t="s">
        <v>28</v>
      </c>
      <c r="C61" s="138"/>
      <c r="D61" s="372" t="e">
        <f>D46/D58</f>
        <v>#DIV/0!</v>
      </c>
      <c r="E61" s="349"/>
      <c r="F61" s="126"/>
      <c r="G61" s="139"/>
      <c r="H61" s="375" t="e">
        <f>H46/H58</f>
        <v>#DIV/0!</v>
      </c>
      <c r="I61" s="376"/>
      <c r="J61" s="376"/>
      <c r="K61" s="128"/>
      <c r="L61" s="319" t="e">
        <f>L46/L58</f>
        <v>#DIV/0!</v>
      </c>
      <c r="M61" s="320"/>
      <c r="N61" s="126"/>
      <c r="O61" s="375" t="e">
        <f>O46/O58</f>
        <v>#DIV/0!</v>
      </c>
      <c r="P61" s="377"/>
      <c r="Q61" s="128"/>
      <c r="R61" s="319" t="e">
        <f>R46/R58</f>
        <v>#DIV/0!</v>
      </c>
      <c r="S61" s="320"/>
      <c r="T61" s="126"/>
      <c r="U61" s="319" t="e">
        <f>U46/U58</f>
        <v>#DIV/0!</v>
      </c>
      <c r="V61" s="320"/>
      <c r="W61" s="126"/>
      <c r="X61" s="121"/>
      <c r="Y61" s="139"/>
      <c r="Z61" s="139"/>
    </row>
    <row r="62" spans="2:26" ht="6" customHeight="1" x14ac:dyDescent="0.3">
      <c r="B62" s="130"/>
      <c r="C62" s="140"/>
      <c r="D62" s="275"/>
      <c r="E62" s="221"/>
      <c r="F62" s="77"/>
      <c r="G62" s="77"/>
      <c r="H62" s="263"/>
      <c r="I62" s="224"/>
      <c r="J62" s="119"/>
      <c r="K62" s="119"/>
      <c r="L62" s="224"/>
      <c r="M62" s="77"/>
      <c r="N62" s="77"/>
      <c r="O62" s="221"/>
      <c r="P62" s="77"/>
      <c r="Q62" s="77"/>
      <c r="R62" s="221"/>
      <c r="S62" s="77"/>
      <c r="T62" s="77"/>
      <c r="U62" s="221"/>
      <c r="V62" s="77"/>
      <c r="W62" s="77"/>
    </row>
    <row r="63" spans="2:26" ht="9" customHeight="1" x14ac:dyDescent="0.3">
      <c r="B63" s="124"/>
      <c r="C63" s="138"/>
      <c r="D63" s="262"/>
      <c r="H63" s="256"/>
      <c r="I63" s="233"/>
      <c r="J63" s="121"/>
      <c r="K63" s="121"/>
      <c r="L63" s="233"/>
    </row>
    <row r="64" spans="2:26" ht="15" customHeight="1" x14ac:dyDescent="0.3">
      <c r="B64" s="356" t="s">
        <v>52</v>
      </c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8"/>
      <c r="N64" s="358"/>
      <c r="O64" s="358"/>
      <c r="P64" s="358"/>
      <c r="Q64" s="358"/>
      <c r="R64" s="359"/>
      <c r="S64" s="359"/>
      <c r="T64" s="52"/>
      <c r="U64" s="52"/>
      <c r="V64" s="52"/>
      <c r="W64" s="52"/>
    </row>
    <row r="65" spans="2:25" ht="9.75" customHeight="1" x14ac:dyDescent="0.3">
      <c r="D65" s="232"/>
      <c r="E65" s="232"/>
      <c r="F65" s="77"/>
      <c r="G65" s="77"/>
      <c r="H65" s="232"/>
      <c r="I65" s="224"/>
      <c r="J65" s="119"/>
      <c r="K65" s="119"/>
      <c r="L65" s="221"/>
      <c r="M65" s="77"/>
      <c r="N65" s="77"/>
      <c r="O65" s="248"/>
      <c r="P65" s="141"/>
      <c r="Q65" s="141"/>
      <c r="R65" s="224"/>
      <c r="S65" s="142"/>
      <c r="T65" s="142"/>
      <c r="U65" s="224"/>
      <c r="V65" s="142"/>
      <c r="W65" s="142"/>
      <c r="X65" s="143"/>
    </row>
    <row r="66" spans="2:25" s="106" customFormat="1" ht="15.75" customHeight="1" x14ac:dyDescent="0.25">
      <c r="D66" s="368">
        <f>D13</f>
        <v>2022</v>
      </c>
      <c r="E66" s="368"/>
      <c r="F66" s="144"/>
      <c r="G66" s="40"/>
      <c r="H66" s="328">
        <f ca="1">H13</f>
        <v>2023</v>
      </c>
      <c r="I66" s="329"/>
      <c r="J66" s="42"/>
      <c r="K66" s="42"/>
      <c r="L66" s="330">
        <f ca="1">L13</f>
        <v>2024</v>
      </c>
      <c r="M66" s="331"/>
      <c r="N66" s="44"/>
      <c r="O66" s="332">
        <f ca="1">O13</f>
        <v>2025</v>
      </c>
      <c r="P66" s="333"/>
      <c r="Q66" s="42"/>
      <c r="R66" s="321" t="str">
        <f ca="1">R13</f>
        <v>2026 - previsione</v>
      </c>
      <c r="S66" s="322"/>
      <c r="T66" s="145"/>
      <c r="U66" s="321" t="str">
        <f ca="1">U13</f>
        <v>2027 - previsione</v>
      </c>
      <c r="V66" s="322"/>
      <c r="W66" s="145"/>
      <c r="X66" s="146"/>
    </row>
    <row r="67" spans="2:25" ht="15.75" customHeight="1" x14ac:dyDescent="0.3">
      <c r="B67" s="323" t="s">
        <v>53</v>
      </c>
      <c r="C67" s="323"/>
      <c r="D67" s="360" t="e">
        <f>D68/((D24-E69)/D24)</f>
        <v>#DIV/0!</v>
      </c>
      <c r="E67" s="360"/>
      <c r="F67" s="147"/>
      <c r="G67" s="138"/>
      <c r="H67" s="324" t="e">
        <f>H68/((H24-H69)/H24)</f>
        <v>#DIV/0!</v>
      </c>
      <c r="I67" s="325"/>
      <c r="J67" s="148"/>
      <c r="K67" s="148"/>
      <c r="L67" s="297" t="e">
        <f>L68/((L24-L69)/L24)</f>
        <v>#DIV/0!</v>
      </c>
      <c r="M67" s="298"/>
      <c r="N67" s="149"/>
      <c r="O67" s="362" t="e">
        <f>O68/((O24-O69)/O24)</f>
        <v>#DIV/0!</v>
      </c>
      <c r="P67" s="327"/>
      <c r="Q67" s="148"/>
      <c r="R67" s="297" t="e">
        <f>R68/((R24-R69)/R24)</f>
        <v>#DIV/0!</v>
      </c>
      <c r="S67" s="298"/>
      <c r="T67" s="150"/>
      <c r="U67" s="297" t="e">
        <f>U68/((U24-U69)/U24)</f>
        <v>#DIV/0!</v>
      </c>
      <c r="V67" s="298"/>
      <c r="W67" s="150"/>
      <c r="X67" s="143"/>
    </row>
    <row r="68" spans="2:25" ht="12.75" hidden="1" customHeight="1" x14ac:dyDescent="0.3">
      <c r="C68" s="132" t="s">
        <v>54</v>
      </c>
      <c r="D68" s="361">
        <f>D31+D33+D34+D58</f>
        <v>0</v>
      </c>
      <c r="E68" s="361"/>
      <c r="F68" s="147"/>
      <c r="G68" s="138"/>
      <c r="H68" s="324">
        <f>H31+H33+H34+H58</f>
        <v>0</v>
      </c>
      <c r="I68" s="325"/>
      <c r="J68" s="151" t="e">
        <f>H68/(H68+H69)</f>
        <v>#DIV/0!</v>
      </c>
      <c r="K68" s="148"/>
      <c r="L68" s="299">
        <f>L31+L33+L34+L58</f>
        <v>0</v>
      </c>
      <c r="M68" s="298"/>
      <c r="N68" s="152" t="e">
        <f>L68/(L68+L69)</f>
        <v>#DIV/0!</v>
      </c>
      <c r="O68" s="326">
        <f>O31+O33+O34+O58</f>
        <v>0</v>
      </c>
      <c r="P68" s="327"/>
      <c r="Q68" s="151" t="e">
        <f>O68/(O68+O69)</f>
        <v>#DIV/0!</v>
      </c>
      <c r="R68" s="299">
        <f>R31+R33+R34+R58</f>
        <v>0</v>
      </c>
      <c r="S68" s="298"/>
      <c r="T68" s="153" t="e">
        <f>R68/(R68+R69)</f>
        <v>#DIV/0!</v>
      </c>
      <c r="U68" s="299">
        <f>U31+U33+U34+U58</f>
        <v>0</v>
      </c>
      <c r="V68" s="298"/>
      <c r="W68" s="153" t="e">
        <f>U68/(U68+U69)</f>
        <v>#DIV/0!</v>
      </c>
      <c r="X68" s="143"/>
      <c r="Y68" s="51" t="s">
        <v>56</v>
      </c>
    </row>
    <row r="69" spans="2:25" ht="12.75" hidden="1" customHeight="1" x14ac:dyDescent="0.3">
      <c r="C69" s="132" t="s">
        <v>55</v>
      </c>
      <c r="D69" s="270"/>
      <c r="E69" s="270">
        <f>D41-D68+D58</f>
        <v>0</v>
      </c>
      <c r="F69" s="147"/>
      <c r="G69" s="138"/>
      <c r="H69" s="324">
        <f>H41-H68+H58</f>
        <v>0</v>
      </c>
      <c r="I69" s="325"/>
      <c r="J69" s="148"/>
      <c r="K69" s="148"/>
      <c r="L69" s="363">
        <f>L41-L68+L58</f>
        <v>0</v>
      </c>
      <c r="M69" s="364"/>
      <c r="N69" s="149"/>
      <c r="O69" s="365">
        <f>O41-O68+O58</f>
        <v>0</v>
      </c>
      <c r="P69" s="366"/>
      <c r="Q69" s="148"/>
      <c r="R69" s="300">
        <f>R41-R68+R58</f>
        <v>0</v>
      </c>
      <c r="S69" s="301"/>
      <c r="T69" s="150"/>
      <c r="U69" s="300">
        <f>U41-U68+U58</f>
        <v>0</v>
      </c>
      <c r="V69" s="301"/>
      <c r="W69" s="150"/>
      <c r="X69" s="143"/>
    </row>
    <row r="70" spans="2:25" ht="5.25" customHeight="1" x14ac:dyDescent="0.3">
      <c r="D70" s="270"/>
      <c r="E70" s="270"/>
      <c r="F70" s="147"/>
      <c r="G70" s="138"/>
      <c r="H70" s="267"/>
      <c r="I70" s="258"/>
      <c r="J70" s="148"/>
      <c r="K70" s="148"/>
      <c r="L70" s="225"/>
      <c r="M70" s="149"/>
      <c r="N70" s="149"/>
      <c r="O70" s="249"/>
      <c r="P70" s="148"/>
      <c r="Q70" s="148"/>
      <c r="R70" s="225"/>
      <c r="S70" s="154"/>
      <c r="T70" s="150"/>
      <c r="U70" s="225"/>
      <c r="V70" s="154"/>
      <c r="W70" s="150"/>
      <c r="X70" s="143"/>
    </row>
    <row r="71" spans="2:25" ht="15.75" customHeight="1" x14ac:dyDescent="0.3">
      <c r="B71" s="323" t="s">
        <v>57</v>
      </c>
      <c r="C71" s="323"/>
      <c r="D71" s="361" t="e">
        <f>(D24-D67)/D24</f>
        <v>#DIV/0!</v>
      </c>
      <c r="E71" s="361"/>
      <c r="F71" s="147"/>
      <c r="G71" s="138"/>
      <c r="H71" s="324" t="e">
        <f>(H24-H67)/H24</f>
        <v>#DIV/0!</v>
      </c>
      <c r="I71" s="325"/>
      <c r="J71" s="148"/>
      <c r="K71" s="148"/>
      <c r="L71" s="302" t="e">
        <f>(L24-L67)/L24</f>
        <v>#DIV/0!</v>
      </c>
      <c r="M71" s="303"/>
      <c r="N71" s="149"/>
      <c r="O71" s="341" t="e">
        <f>(O24-O67)/O24</f>
        <v>#DIV/0!</v>
      </c>
      <c r="P71" s="342"/>
      <c r="Q71" s="148"/>
      <c r="R71" s="302" t="e">
        <f>(R24-R67)/R24</f>
        <v>#DIV/0!</v>
      </c>
      <c r="S71" s="303"/>
      <c r="T71" s="150"/>
      <c r="U71" s="302" t="e">
        <f>(U24-U67)/U24</f>
        <v>#DIV/0!</v>
      </c>
      <c r="V71" s="303"/>
      <c r="W71" s="150"/>
      <c r="X71" s="143"/>
    </row>
    <row r="72" spans="2:25" ht="5.25" customHeight="1" x14ac:dyDescent="0.3">
      <c r="D72" s="270"/>
      <c r="E72" s="270"/>
      <c r="F72" s="147"/>
      <c r="G72" s="138"/>
      <c r="H72" s="267"/>
      <c r="I72" s="258"/>
      <c r="J72" s="148"/>
      <c r="K72" s="148"/>
      <c r="L72" s="225"/>
      <c r="M72" s="149"/>
      <c r="N72" s="149"/>
      <c r="O72" s="249"/>
      <c r="P72" s="148"/>
      <c r="Q72" s="148"/>
      <c r="R72" s="225"/>
      <c r="S72" s="154"/>
      <c r="T72" s="150"/>
      <c r="U72" s="225"/>
      <c r="V72" s="154"/>
      <c r="W72" s="150"/>
      <c r="X72" s="143"/>
    </row>
    <row r="73" spans="2:25" ht="15.75" customHeight="1" x14ac:dyDescent="0.3">
      <c r="B73" s="323" t="s">
        <v>58</v>
      </c>
      <c r="C73" s="323"/>
      <c r="D73" s="343" t="e">
        <f>(D24-E69)/D46</f>
        <v>#DIV/0!</v>
      </c>
      <c r="E73" s="343"/>
      <c r="F73" s="155"/>
      <c r="G73" s="140"/>
      <c r="H73" s="344" t="e">
        <f>(H24-I69)/H46</f>
        <v>#DIV/0!</v>
      </c>
      <c r="I73" s="345"/>
      <c r="J73" s="156"/>
      <c r="K73" s="156"/>
      <c r="L73" s="304" t="e">
        <f>(L24-M69)/L46</f>
        <v>#DIV/0!</v>
      </c>
      <c r="M73" s="305"/>
      <c r="N73" s="157"/>
      <c r="O73" s="346" t="e">
        <f>(O24-P69)/O46</f>
        <v>#DIV/0!</v>
      </c>
      <c r="P73" s="347"/>
      <c r="Q73" s="156"/>
      <c r="R73" s="304" t="e">
        <f>(R24-S69)/R46</f>
        <v>#DIV/0!</v>
      </c>
      <c r="S73" s="305"/>
      <c r="T73" s="158"/>
      <c r="U73" s="304" t="e">
        <f>(U24-V69)/U46</f>
        <v>#DIV/0!</v>
      </c>
      <c r="V73" s="305"/>
      <c r="W73" s="158"/>
      <c r="X73" s="143"/>
    </row>
    <row r="74" spans="2:25" ht="12.75" customHeight="1" x14ac:dyDescent="0.3">
      <c r="B74" s="117"/>
      <c r="C74" s="117"/>
      <c r="D74" s="226"/>
      <c r="E74" s="259"/>
      <c r="H74" s="226"/>
      <c r="I74" s="259"/>
      <c r="J74" s="121"/>
      <c r="K74" s="121"/>
      <c r="L74" s="226"/>
      <c r="M74" s="159"/>
      <c r="O74" s="226"/>
      <c r="P74" s="159"/>
      <c r="Q74" s="132"/>
      <c r="R74" s="226"/>
      <c r="S74" s="159"/>
      <c r="T74" s="125"/>
      <c r="U74" s="226"/>
      <c r="V74" s="159"/>
      <c r="W74" s="125"/>
      <c r="X74" s="143"/>
    </row>
    <row r="75" spans="2:25" ht="15.75" customHeight="1" x14ac:dyDescent="0.3">
      <c r="B75" s="323" t="s">
        <v>63</v>
      </c>
      <c r="C75" s="323"/>
      <c r="D75" s="367"/>
      <c r="E75" s="367"/>
      <c r="F75" s="367"/>
      <c r="G75" s="367"/>
      <c r="H75" s="367"/>
      <c r="I75" s="367"/>
      <c r="J75" s="367"/>
      <c r="K75" s="121"/>
      <c r="L75" s="226"/>
      <c r="M75" s="159"/>
      <c r="O75" s="226"/>
      <c r="P75" s="159"/>
      <c r="Q75" s="132"/>
      <c r="R75" s="226"/>
      <c r="S75" s="159"/>
      <c r="T75" s="125"/>
      <c r="U75" s="226"/>
      <c r="V75" s="159"/>
      <c r="W75" s="125"/>
      <c r="X75" s="143"/>
    </row>
    <row r="76" spans="2:25" ht="6.75" customHeight="1" x14ac:dyDescent="0.3">
      <c r="B76" s="53"/>
      <c r="C76" s="120"/>
      <c r="D76" s="256"/>
      <c r="E76" s="268"/>
      <c r="F76" s="119"/>
      <c r="G76" s="121"/>
      <c r="H76" s="256"/>
      <c r="I76" s="256"/>
      <c r="J76" s="121"/>
      <c r="K76" s="121"/>
      <c r="L76" s="212"/>
    </row>
    <row r="77" spans="2:25" ht="12.75" customHeight="1" x14ac:dyDescent="0.3">
      <c r="B77" s="160"/>
      <c r="C77" s="161"/>
      <c r="D77" s="334">
        <f>D13</f>
        <v>2022</v>
      </c>
      <c r="E77" s="335"/>
      <c r="F77" s="126"/>
      <c r="G77" s="45"/>
      <c r="H77" s="336">
        <f ca="1">H13</f>
        <v>2023</v>
      </c>
      <c r="I77" s="337"/>
      <c r="J77" s="46"/>
      <c r="K77" s="46"/>
      <c r="L77" s="338">
        <f ca="1">L13</f>
        <v>2024</v>
      </c>
      <c r="M77" s="307"/>
      <c r="N77" s="47"/>
      <c r="O77" s="339">
        <f ca="1">O13</f>
        <v>2025</v>
      </c>
      <c r="P77" s="340"/>
      <c r="Q77" s="46"/>
      <c r="R77" s="306" t="str">
        <f ca="1">R13</f>
        <v>2026 - previsione</v>
      </c>
      <c r="S77" s="307"/>
      <c r="T77" s="162"/>
      <c r="U77" s="306" t="str">
        <f ca="1">U13</f>
        <v>2027 - previsione</v>
      </c>
      <c r="V77" s="307"/>
      <c r="W77" s="162"/>
      <c r="X77" s="143"/>
    </row>
    <row r="78" spans="2:25" ht="12.75" customHeight="1" x14ac:dyDescent="0.3">
      <c r="B78" s="160"/>
      <c r="C78" s="161"/>
      <c r="D78" s="276" t="s">
        <v>67</v>
      </c>
      <c r="E78" s="271" t="s">
        <v>68</v>
      </c>
      <c r="F78" s="131"/>
      <c r="G78" s="40"/>
      <c r="H78" s="250" t="s">
        <v>67</v>
      </c>
      <c r="I78" s="260" t="s">
        <v>68</v>
      </c>
      <c r="J78" s="42"/>
      <c r="K78" s="42"/>
      <c r="L78" s="227" t="s">
        <v>67</v>
      </c>
      <c r="M78" s="43" t="s">
        <v>68</v>
      </c>
      <c r="N78" s="44"/>
      <c r="O78" s="250" t="s">
        <v>67</v>
      </c>
      <c r="P78" s="41" t="s">
        <v>68</v>
      </c>
      <c r="Q78" s="42"/>
      <c r="R78" s="227" t="s">
        <v>69</v>
      </c>
      <c r="S78" s="43" t="s">
        <v>68</v>
      </c>
      <c r="T78" s="145"/>
      <c r="U78" s="227" t="s">
        <v>69</v>
      </c>
      <c r="V78" s="43" t="s">
        <v>68</v>
      </c>
      <c r="W78" s="145"/>
      <c r="X78" s="143"/>
    </row>
    <row r="79" spans="2:25" ht="12.75" customHeight="1" x14ac:dyDescent="0.3">
      <c r="B79" s="163" t="s">
        <v>62</v>
      </c>
      <c r="C79" s="163"/>
      <c r="D79" s="228"/>
      <c r="E79" s="261"/>
      <c r="F79" s="48"/>
      <c r="G79" s="48"/>
      <c r="H79" s="228"/>
      <c r="I79" s="261"/>
      <c r="J79" s="48"/>
      <c r="K79" s="48"/>
      <c r="L79" s="228"/>
      <c r="M79" s="49"/>
      <c r="N79" s="48"/>
      <c r="O79" s="228"/>
      <c r="P79" s="49"/>
      <c r="Q79" s="48"/>
      <c r="R79" s="228"/>
      <c r="S79" s="49"/>
      <c r="T79" s="164"/>
      <c r="U79" s="228"/>
      <c r="V79" s="49"/>
      <c r="W79" s="164"/>
      <c r="X79" s="143"/>
    </row>
    <row r="80" spans="2:25" ht="12.75" customHeight="1" x14ac:dyDescent="0.3">
      <c r="B80" s="163" t="s">
        <v>65</v>
      </c>
      <c r="C80" s="163"/>
      <c r="D80" s="228"/>
      <c r="E80" s="261"/>
      <c r="F80" s="48"/>
      <c r="G80" s="48"/>
      <c r="H80" s="228"/>
      <c r="I80" s="261"/>
      <c r="J80" s="48"/>
      <c r="K80" s="48"/>
      <c r="L80" s="228"/>
      <c r="M80" s="49"/>
      <c r="N80" s="48"/>
      <c r="O80" s="228"/>
      <c r="P80" s="49"/>
      <c r="Q80" s="48"/>
      <c r="R80" s="228"/>
      <c r="S80" s="49"/>
      <c r="T80" s="164"/>
      <c r="U80" s="228"/>
      <c r="V80" s="49"/>
      <c r="W80" s="164"/>
      <c r="X80" s="143"/>
    </row>
    <row r="81" spans="2:24" ht="12.75" customHeight="1" x14ac:dyDescent="0.3">
      <c r="B81" s="165" t="s">
        <v>60</v>
      </c>
      <c r="C81" s="166">
        <v>0.2</v>
      </c>
      <c r="D81" s="272" t="e">
        <f>E82</f>
        <v>#DIV/0!</v>
      </c>
      <c r="E81" s="272" t="e">
        <f>D82/D58</f>
        <v>#DIV/0!</v>
      </c>
      <c r="F81" s="126"/>
      <c r="G81" s="167"/>
      <c r="H81" s="249" t="e">
        <f>I82</f>
        <v>#DIV/0!</v>
      </c>
      <c r="I81" s="258" t="e">
        <f>H82/H58</f>
        <v>#DIV/0!</v>
      </c>
      <c r="J81" s="148"/>
      <c r="K81" s="169"/>
      <c r="L81" s="225" t="e">
        <f>M82</f>
        <v>#DIV/0!</v>
      </c>
      <c r="M81" s="170" t="e">
        <f>L82/L58</f>
        <v>#DIV/0!</v>
      </c>
      <c r="N81" s="171"/>
      <c r="O81" s="249" t="e">
        <f>P82</f>
        <v>#DIV/0!</v>
      </c>
      <c r="P81" s="168" t="e">
        <f>O82/O58</f>
        <v>#DIV/0!</v>
      </c>
      <c r="Q81" s="169"/>
      <c r="R81" s="225" t="e">
        <f>S82</f>
        <v>#DIV/0!</v>
      </c>
      <c r="S81" s="170" t="e">
        <f>R82/R58</f>
        <v>#DIV/0!</v>
      </c>
      <c r="T81" s="172"/>
      <c r="U81" s="225" t="e">
        <f>V82</f>
        <v>#DIV/0!</v>
      </c>
      <c r="V81" s="170" t="e">
        <f>U82/U58</f>
        <v>#DIV/0!</v>
      </c>
      <c r="W81" s="172"/>
      <c r="X81" s="143"/>
    </row>
    <row r="82" spans="2:24" ht="12.75" hidden="1" customHeight="1" x14ac:dyDescent="0.3">
      <c r="B82" s="173" t="s">
        <v>60</v>
      </c>
      <c r="C82" s="174">
        <f>C81</f>
        <v>0.2</v>
      </c>
      <c r="D82" s="229" t="e">
        <f>D46*(1+(D73*C82))</f>
        <v>#DIV/0!</v>
      </c>
      <c r="E82" s="262" t="e">
        <f>D82/(D24*(1+C82))</f>
        <v>#DIV/0!</v>
      </c>
      <c r="F82" s="138"/>
      <c r="G82" s="167"/>
      <c r="H82" s="229" t="e">
        <f>H46*(1+(H73*C82))</f>
        <v>#DIV/0!</v>
      </c>
      <c r="I82" s="262" t="e">
        <f>H82/(H24*(1+C82))</f>
        <v>#DIV/0!</v>
      </c>
      <c r="J82" s="138"/>
      <c r="K82" s="167"/>
      <c r="L82" s="229" t="e">
        <f>L46*(1+(L73*C82))</f>
        <v>#DIV/0!</v>
      </c>
      <c r="M82" s="175" t="e">
        <f>L82/(L24*(1+C82))</f>
        <v>#DIV/0!</v>
      </c>
      <c r="N82" s="167"/>
      <c r="O82" s="229" t="e">
        <f>O46*(1+(O73*C82))</f>
        <v>#DIV/0!</v>
      </c>
      <c r="P82" s="175" t="e">
        <f>O82/(O24*(1+C82))</f>
        <v>#DIV/0!</v>
      </c>
      <c r="Q82" s="167"/>
      <c r="R82" s="229" t="e">
        <f>R46*(1+(R73*C82))</f>
        <v>#DIV/0!</v>
      </c>
      <c r="S82" s="175" t="e">
        <f>R82/(R24*(1+C82))</f>
        <v>#DIV/0!</v>
      </c>
      <c r="U82" s="229" t="e">
        <f>U46*(1+(U73*F82))</f>
        <v>#DIV/0!</v>
      </c>
      <c r="V82" s="175" t="e">
        <f>U82/(U24*(1+F82))</f>
        <v>#DIV/0!</v>
      </c>
      <c r="X82" s="143"/>
    </row>
    <row r="83" spans="2:24" ht="6.75" customHeight="1" x14ac:dyDescent="0.3">
      <c r="B83" s="118"/>
      <c r="C83" s="123"/>
      <c r="D83" s="263"/>
      <c r="E83" s="273"/>
      <c r="F83" s="119"/>
      <c r="G83" s="119"/>
      <c r="H83" s="263"/>
      <c r="I83" s="263"/>
      <c r="J83" s="119"/>
      <c r="K83" s="119"/>
      <c r="L83" s="255"/>
      <c r="M83" s="77"/>
      <c r="N83" s="77"/>
      <c r="O83" s="221"/>
      <c r="P83" s="77"/>
      <c r="Q83" s="77"/>
      <c r="R83" s="221"/>
      <c r="S83" s="77"/>
      <c r="T83" s="77"/>
      <c r="U83" s="221"/>
      <c r="V83" s="77"/>
      <c r="W83" s="77"/>
    </row>
    <row r="84" spans="2:24" ht="6.75" customHeight="1" x14ac:dyDescent="0.3">
      <c r="B84" s="53"/>
      <c r="C84" s="120"/>
      <c r="D84" s="256"/>
      <c r="E84" s="268"/>
      <c r="F84" s="121"/>
      <c r="G84" s="121"/>
      <c r="H84" s="256"/>
      <c r="I84" s="256"/>
      <c r="J84" s="121"/>
      <c r="K84" s="121"/>
      <c r="L84" s="212"/>
    </row>
    <row r="85" spans="2:24" ht="12.75" customHeight="1" x14ac:dyDescent="0.3">
      <c r="B85" s="176" t="s">
        <v>64</v>
      </c>
      <c r="C85" s="176"/>
      <c r="D85" s="229"/>
      <c r="E85" s="262"/>
      <c r="F85" s="138"/>
      <c r="G85" s="167"/>
      <c r="H85" s="229"/>
      <c r="I85" s="262"/>
      <c r="J85" s="138"/>
      <c r="K85" s="167"/>
      <c r="L85" s="229"/>
      <c r="M85" s="175"/>
      <c r="N85" s="167"/>
      <c r="O85" s="229"/>
      <c r="P85" s="175"/>
      <c r="Q85" s="167"/>
      <c r="R85" s="229"/>
      <c r="S85" s="175"/>
      <c r="U85" s="229"/>
      <c r="V85" s="175"/>
      <c r="X85" s="143"/>
    </row>
    <row r="86" spans="2:24" ht="12.75" customHeight="1" x14ac:dyDescent="0.3">
      <c r="B86" s="176" t="s">
        <v>66</v>
      </c>
      <c r="C86" s="176"/>
      <c r="D86" s="229"/>
      <c r="E86" s="262"/>
      <c r="F86" s="138"/>
      <c r="G86" s="167"/>
      <c r="H86" s="229"/>
      <c r="I86" s="262"/>
      <c r="J86" s="138"/>
      <c r="K86" s="167"/>
      <c r="L86" s="229"/>
      <c r="M86" s="175"/>
      <c r="N86" s="167"/>
      <c r="O86" s="229"/>
      <c r="P86" s="175"/>
      <c r="Q86" s="167"/>
      <c r="R86" s="229"/>
      <c r="S86" s="175"/>
      <c r="U86" s="229"/>
      <c r="V86" s="175"/>
      <c r="X86" s="143"/>
    </row>
    <row r="87" spans="2:24" ht="12.75" customHeight="1" x14ac:dyDescent="0.3">
      <c r="B87" s="177" t="s">
        <v>61</v>
      </c>
      <c r="C87" s="178">
        <f>C81</f>
        <v>0.2</v>
      </c>
      <c r="D87" s="277" t="e">
        <f>E88</f>
        <v>#DIV/0!</v>
      </c>
      <c r="E87" s="274" t="e">
        <f>D88/D58</f>
        <v>#DIV/0!</v>
      </c>
      <c r="F87" s="149"/>
      <c r="G87" s="167"/>
      <c r="H87" s="251" t="e">
        <f>I88</f>
        <v>#DIV/0!</v>
      </c>
      <c r="I87" s="258" t="e">
        <f>H88/H58</f>
        <v>#DIV/0!</v>
      </c>
      <c r="J87" s="148"/>
      <c r="K87" s="169"/>
      <c r="L87" s="230" t="e">
        <f>M88</f>
        <v>#DIV/0!</v>
      </c>
      <c r="M87" s="170" t="e">
        <f>L88/L58</f>
        <v>#DIV/0!</v>
      </c>
      <c r="N87" s="171"/>
      <c r="O87" s="251" t="e">
        <f>P88</f>
        <v>#DIV/0!</v>
      </c>
      <c r="P87" s="168" t="e">
        <f>O88/O58</f>
        <v>#DIV/0!</v>
      </c>
      <c r="Q87" s="169"/>
      <c r="R87" s="230" t="e">
        <f>S88</f>
        <v>#DIV/0!</v>
      </c>
      <c r="S87" s="170" t="e">
        <f>R88/R58</f>
        <v>#DIV/0!</v>
      </c>
      <c r="T87" s="172"/>
      <c r="U87" s="230" t="e">
        <f>V88</f>
        <v>#DIV/0!</v>
      </c>
      <c r="V87" s="170" t="e">
        <f>U88/U58</f>
        <v>#DIV/0!</v>
      </c>
      <c r="W87" s="172"/>
      <c r="X87" s="143"/>
    </row>
    <row r="88" spans="2:24" ht="12.75" hidden="1" customHeight="1" x14ac:dyDescent="0.3">
      <c r="B88" s="177" t="s">
        <v>61</v>
      </c>
      <c r="C88" s="178">
        <f>C87</f>
        <v>0.2</v>
      </c>
      <c r="D88" s="229" t="e">
        <f>D46*(1-(D73*C88))</f>
        <v>#DIV/0!</v>
      </c>
      <c r="E88" s="262" t="e">
        <f>D88/(D24*(1-C88))</f>
        <v>#DIV/0!</v>
      </c>
      <c r="F88" s="138"/>
      <c r="G88" s="167"/>
      <c r="H88" s="229" t="e">
        <f>H46*(1-(H73*C88))</f>
        <v>#DIV/0!</v>
      </c>
      <c r="I88" s="262" t="e">
        <f>H88/(H24*(1-C88))</f>
        <v>#DIV/0!</v>
      </c>
      <c r="J88" s="138"/>
      <c r="K88" s="167"/>
      <c r="L88" s="229" t="e">
        <f>L46*(1-(L73*C88))</f>
        <v>#DIV/0!</v>
      </c>
      <c r="M88" s="175" t="e">
        <f>L88/(L24*(1-C88))</f>
        <v>#DIV/0!</v>
      </c>
      <c r="N88" s="167"/>
      <c r="O88" s="229" t="e">
        <f>O46*(1-(O73*C88))</f>
        <v>#DIV/0!</v>
      </c>
      <c r="P88" s="175" t="e">
        <f>O88/(O24*(1-C88))</f>
        <v>#DIV/0!</v>
      </c>
      <c r="Q88" s="167"/>
      <c r="R88" s="229" t="e">
        <f>R46*(1-(R73*C88))</f>
        <v>#DIV/0!</v>
      </c>
      <c r="S88" s="175" t="e">
        <f>R88/(R24*(1-C88))</f>
        <v>#DIV/0!</v>
      </c>
      <c r="U88" s="229" t="e">
        <f>U46*(1-(U73*F88))</f>
        <v>#DIV/0!</v>
      </c>
      <c r="V88" s="175" t="e">
        <f>U88/(U24*(1-F88))</f>
        <v>#DIV/0!</v>
      </c>
      <c r="X88" s="143"/>
    </row>
    <row r="89" spans="2:24" ht="6.75" customHeight="1" x14ac:dyDescent="0.3">
      <c r="B89" s="118"/>
      <c r="C89" s="123"/>
      <c r="D89" s="263"/>
      <c r="E89" s="273"/>
      <c r="F89" s="119"/>
      <c r="G89" s="119"/>
      <c r="H89" s="263"/>
      <c r="I89" s="263"/>
      <c r="J89" s="119"/>
      <c r="K89" s="119"/>
      <c r="L89" s="255"/>
      <c r="M89" s="77"/>
      <c r="N89" s="77"/>
      <c r="O89" s="221"/>
      <c r="P89" s="77"/>
      <c r="Q89" s="77"/>
      <c r="R89" s="221"/>
      <c r="S89" s="77"/>
      <c r="T89" s="77"/>
      <c r="U89" s="221"/>
      <c r="V89" s="77"/>
      <c r="W89" s="77"/>
    </row>
    <row r="90" spans="2:24" ht="12.75" customHeight="1" x14ac:dyDescent="0.3">
      <c r="B90" s="179"/>
      <c r="C90" s="179"/>
      <c r="D90" s="226"/>
      <c r="E90" s="259"/>
      <c r="F90" s="180"/>
      <c r="G90" s="180"/>
      <c r="H90" s="226"/>
      <c r="I90" s="259"/>
      <c r="J90" s="181"/>
      <c r="K90" s="181"/>
      <c r="L90" s="226"/>
      <c r="M90" s="159"/>
      <c r="N90" s="180"/>
      <c r="O90" s="226"/>
      <c r="P90" s="159"/>
      <c r="Q90" s="182"/>
      <c r="R90" s="226"/>
      <c r="S90" s="159"/>
      <c r="T90" s="183"/>
      <c r="U90" s="226"/>
      <c r="V90" s="159"/>
      <c r="W90" s="183"/>
      <c r="X90" s="143"/>
    </row>
    <row r="91" spans="2:24" s="66" customFormat="1" ht="12.75" customHeight="1" x14ac:dyDescent="0.3">
      <c r="B91" s="184"/>
      <c r="C91" s="184"/>
      <c r="D91" s="231"/>
      <c r="E91" s="264"/>
      <c r="F91" s="186"/>
      <c r="G91" s="186"/>
      <c r="H91" s="231"/>
      <c r="I91" s="264"/>
      <c r="J91" s="187"/>
      <c r="K91" s="187"/>
      <c r="L91" s="231"/>
      <c r="M91" s="185"/>
      <c r="N91" s="186"/>
      <c r="O91" s="231"/>
      <c r="P91" s="185"/>
      <c r="Q91" s="188"/>
      <c r="R91" s="231"/>
      <c r="S91" s="185"/>
      <c r="T91" s="189"/>
      <c r="U91" s="231"/>
      <c r="V91" s="185"/>
      <c r="W91" s="189"/>
      <c r="X91" s="190"/>
    </row>
    <row r="92" spans="2:24" s="66" customFormat="1" ht="12.75" customHeight="1" x14ac:dyDescent="0.3">
      <c r="B92" s="184"/>
      <c r="C92" s="184"/>
      <c r="D92" s="231">
        <f>D66</f>
        <v>2022</v>
      </c>
      <c r="E92" s="264">
        <f ca="1">H66</f>
        <v>2023</v>
      </c>
      <c r="F92" s="191">
        <f ca="1">L66</f>
        <v>2024</v>
      </c>
      <c r="G92" s="191"/>
      <c r="H92" s="231">
        <f ca="1">O66</f>
        <v>2025</v>
      </c>
      <c r="I92" s="264" t="str">
        <f ca="1">R66</f>
        <v>2026 - previsione</v>
      </c>
      <c r="J92" s="187"/>
      <c r="K92" s="187"/>
      <c r="L92" s="231"/>
      <c r="M92" s="185"/>
      <c r="N92" s="186"/>
      <c r="O92" s="231"/>
      <c r="P92" s="185"/>
      <c r="Q92" s="188"/>
      <c r="R92" s="231"/>
      <c r="S92" s="185"/>
      <c r="T92" s="189"/>
      <c r="U92" s="231"/>
      <c r="V92" s="185"/>
      <c r="W92" s="189"/>
      <c r="X92" s="190"/>
    </row>
    <row r="93" spans="2:24" s="66" customFormat="1" ht="12.75" customHeight="1" x14ac:dyDescent="0.3">
      <c r="B93" s="184"/>
      <c r="C93" s="184" t="s">
        <v>70</v>
      </c>
      <c r="D93" s="278" t="e">
        <f>F46</f>
        <v>#DIV/0!</v>
      </c>
      <c r="E93" s="265" t="e">
        <f>J46</f>
        <v>#DIV/0!</v>
      </c>
      <c r="F93" s="192" t="e">
        <f>M46</f>
        <v>#DIV/0!</v>
      </c>
      <c r="G93" s="192">
        <f t="shared" ref="G93" si="35">L46</f>
        <v>0</v>
      </c>
      <c r="H93" s="265" t="e">
        <f>P46</f>
        <v>#DIV/0!</v>
      </c>
      <c r="I93" s="265" t="e">
        <f>S46</f>
        <v>#DIV/0!</v>
      </c>
      <c r="J93" s="193"/>
      <c r="K93" s="187"/>
      <c r="L93" s="231"/>
      <c r="M93" s="185"/>
      <c r="N93" s="186"/>
      <c r="O93" s="231"/>
      <c r="P93" s="185"/>
      <c r="Q93" s="188"/>
      <c r="R93" s="231"/>
      <c r="S93" s="185"/>
      <c r="T93" s="189"/>
      <c r="U93" s="231"/>
      <c r="V93" s="185"/>
      <c r="W93" s="189"/>
      <c r="X93" s="190"/>
    </row>
    <row r="94" spans="2:24" s="66" customFormat="1" ht="12.75" customHeight="1" x14ac:dyDescent="0.3">
      <c r="B94" s="184"/>
      <c r="C94" s="184" t="s">
        <v>71</v>
      </c>
      <c r="D94" s="278" t="e">
        <f>D81</f>
        <v>#DIV/0!</v>
      </c>
      <c r="E94" s="265" t="e">
        <f>H81</f>
        <v>#DIV/0!</v>
      </c>
      <c r="F94" s="192" t="e">
        <f>L81</f>
        <v>#DIV/0!</v>
      </c>
      <c r="G94" s="192">
        <f t="shared" ref="G94" si="36">J81</f>
        <v>0</v>
      </c>
      <c r="H94" s="265" t="e">
        <f>O81</f>
        <v>#DIV/0!</v>
      </c>
      <c r="I94" s="265" t="e">
        <f>R81</f>
        <v>#DIV/0!</v>
      </c>
      <c r="J94" s="193"/>
      <c r="K94" s="187"/>
      <c r="L94" s="231"/>
      <c r="M94" s="185"/>
      <c r="N94" s="186"/>
      <c r="O94" s="231"/>
      <c r="P94" s="185"/>
      <c r="Q94" s="188"/>
      <c r="R94" s="231"/>
      <c r="S94" s="185"/>
      <c r="T94" s="189"/>
      <c r="U94" s="231"/>
      <c r="V94" s="185"/>
      <c r="W94" s="189"/>
      <c r="X94" s="190"/>
    </row>
    <row r="95" spans="2:24" s="66" customFormat="1" ht="12.75" customHeight="1" x14ac:dyDescent="0.3">
      <c r="B95" s="184"/>
      <c r="C95" s="184" t="s">
        <v>72</v>
      </c>
      <c r="D95" s="278" t="e">
        <f>D87</f>
        <v>#DIV/0!</v>
      </c>
      <c r="E95" s="265" t="e">
        <f>H87</f>
        <v>#DIV/0!</v>
      </c>
      <c r="F95" s="192" t="e">
        <f>L87</f>
        <v>#DIV/0!</v>
      </c>
      <c r="G95" s="192">
        <f t="shared" ref="G95" si="37">J87</f>
        <v>0</v>
      </c>
      <c r="H95" s="265" t="e">
        <f>O87</f>
        <v>#DIV/0!</v>
      </c>
      <c r="I95" s="265" t="e">
        <f>R87</f>
        <v>#DIV/0!</v>
      </c>
      <c r="J95" s="193"/>
      <c r="K95" s="187"/>
      <c r="L95" s="231"/>
      <c r="M95" s="185"/>
      <c r="N95" s="186"/>
      <c r="O95" s="231"/>
      <c r="P95" s="185"/>
      <c r="Q95" s="188"/>
      <c r="R95" s="231"/>
      <c r="S95" s="185"/>
      <c r="T95" s="189"/>
      <c r="U95" s="231"/>
      <c r="V95" s="185"/>
      <c r="W95" s="189"/>
      <c r="X95" s="190"/>
    </row>
    <row r="96" spans="2:24" s="66" customFormat="1" ht="12.75" customHeight="1" x14ac:dyDescent="0.3">
      <c r="B96" s="184"/>
      <c r="C96" s="184"/>
      <c r="D96" s="231"/>
      <c r="E96" s="264"/>
      <c r="F96" s="186"/>
      <c r="G96" s="186"/>
      <c r="H96" s="231"/>
      <c r="I96" s="264"/>
      <c r="J96" s="187"/>
      <c r="K96" s="187"/>
      <c r="L96" s="231"/>
      <c r="M96" s="185"/>
      <c r="N96" s="186"/>
      <c r="O96" s="231"/>
      <c r="P96" s="185"/>
      <c r="Q96" s="188"/>
      <c r="R96" s="231"/>
      <c r="S96" s="185"/>
      <c r="T96" s="189"/>
      <c r="U96" s="231"/>
      <c r="V96" s="185"/>
      <c r="W96" s="189"/>
      <c r="X96" s="190"/>
    </row>
    <row r="97" spans="2:24" s="66" customFormat="1" ht="12.75" customHeight="1" x14ac:dyDescent="0.3">
      <c r="B97" s="184"/>
      <c r="C97" s="184" t="s">
        <v>73</v>
      </c>
      <c r="D97" s="231" t="e">
        <f>D61</f>
        <v>#DIV/0!</v>
      </c>
      <c r="E97" s="264" t="e">
        <f>H61</f>
        <v>#DIV/0!</v>
      </c>
      <c r="F97" s="186" t="e">
        <f>L61</f>
        <v>#DIV/0!</v>
      </c>
      <c r="G97" s="186"/>
      <c r="H97" s="231" t="e">
        <f>O61</f>
        <v>#DIV/0!</v>
      </c>
      <c r="I97" s="264" t="e">
        <f>R61</f>
        <v>#DIV/0!</v>
      </c>
      <c r="J97" s="187"/>
      <c r="K97" s="187"/>
      <c r="L97" s="231"/>
      <c r="M97" s="185"/>
      <c r="N97" s="186"/>
      <c r="O97" s="231"/>
      <c r="P97" s="185"/>
      <c r="Q97" s="188"/>
      <c r="R97" s="231"/>
      <c r="S97" s="185"/>
      <c r="T97" s="189"/>
      <c r="U97" s="231"/>
      <c r="V97" s="185"/>
      <c r="W97" s="189"/>
      <c r="X97" s="190"/>
    </row>
    <row r="98" spans="2:24" s="66" customFormat="1" ht="12.75" customHeight="1" x14ac:dyDescent="0.3">
      <c r="B98" s="184"/>
      <c r="C98" s="184" t="s">
        <v>74</v>
      </c>
      <c r="D98" s="231" t="e">
        <f>E81</f>
        <v>#DIV/0!</v>
      </c>
      <c r="E98" s="264" t="e">
        <f>I81</f>
        <v>#DIV/0!</v>
      </c>
      <c r="F98" s="186" t="e">
        <f>M81</f>
        <v>#DIV/0!</v>
      </c>
      <c r="G98" s="186"/>
      <c r="H98" s="231" t="e">
        <f>P81</f>
        <v>#DIV/0!</v>
      </c>
      <c r="I98" s="264" t="e">
        <f>S81</f>
        <v>#DIV/0!</v>
      </c>
      <c r="J98" s="187"/>
      <c r="K98" s="187"/>
      <c r="L98" s="231"/>
      <c r="M98" s="185"/>
      <c r="N98" s="186"/>
      <c r="O98" s="231"/>
      <c r="P98" s="185"/>
      <c r="Q98" s="188"/>
      <c r="R98" s="231"/>
      <c r="S98" s="185"/>
      <c r="T98" s="189"/>
      <c r="U98" s="231"/>
      <c r="V98" s="185"/>
      <c r="W98" s="189"/>
      <c r="X98" s="190"/>
    </row>
    <row r="99" spans="2:24" s="66" customFormat="1" ht="12.75" customHeight="1" x14ac:dyDescent="0.3">
      <c r="B99" s="184"/>
      <c r="C99" s="184" t="s">
        <v>75</v>
      </c>
      <c r="D99" s="231" t="e">
        <f>E87</f>
        <v>#DIV/0!</v>
      </c>
      <c r="E99" s="264" t="e">
        <f>I87</f>
        <v>#DIV/0!</v>
      </c>
      <c r="F99" s="186" t="e">
        <f>M87</f>
        <v>#DIV/0!</v>
      </c>
      <c r="G99" s="186"/>
      <c r="H99" s="231" t="e">
        <f>P87</f>
        <v>#DIV/0!</v>
      </c>
      <c r="I99" s="264" t="e">
        <f>S87</f>
        <v>#DIV/0!</v>
      </c>
      <c r="J99" s="187"/>
      <c r="K99" s="187"/>
      <c r="L99" s="231"/>
      <c r="M99" s="185"/>
      <c r="N99" s="186"/>
      <c r="O99" s="231"/>
      <c r="P99" s="185"/>
      <c r="Q99" s="188"/>
      <c r="R99" s="231"/>
      <c r="S99" s="185"/>
      <c r="T99" s="189"/>
      <c r="U99" s="231"/>
      <c r="V99" s="185"/>
      <c r="W99" s="189"/>
      <c r="X99" s="190"/>
    </row>
    <row r="100" spans="2:24" ht="12.75" customHeight="1" x14ac:dyDescent="0.3">
      <c r="B100" s="179"/>
      <c r="C100" s="179"/>
      <c r="D100" s="226"/>
      <c r="E100" s="259"/>
      <c r="F100" s="180"/>
      <c r="G100" s="180"/>
      <c r="H100" s="226"/>
      <c r="I100" s="259"/>
      <c r="J100" s="181"/>
      <c r="K100" s="181"/>
      <c r="L100" s="226"/>
      <c r="M100" s="159"/>
      <c r="N100" s="180"/>
      <c r="O100" s="226"/>
      <c r="P100" s="159"/>
      <c r="Q100" s="182"/>
      <c r="R100" s="226"/>
      <c r="S100" s="159"/>
      <c r="T100" s="183"/>
      <c r="U100" s="226"/>
      <c r="V100" s="159"/>
      <c r="W100" s="183"/>
      <c r="X100" s="143"/>
    </row>
    <row r="101" spans="2:24" ht="12.75" customHeight="1" x14ac:dyDescent="0.3">
      <c r="B101" s="179"/>
      <c r="C101" s="179"/>
      <c r="D101" s="226"/>
      <c r="E101" s="259"/>
      <c r="F101" s="180"/>
      <c r="G101" s="180"/>
      <c r="H101" s="226"/>
      <c r="I101" s="259"/>
      <c r="J101" s="181"/>
      <c r="K101" s="181"/>
      <c r="L101" s="226"/>
      <c r="M101" s="159"/>
      <c r="N101" s="180"/>
      <c r="O101" s="226"/>
      <c r="P101" s="159"/>
      <c r="Q101" s="182"/>
      <c r="R101" s="226"/>
      <c r="S101" s="159"/>
      <c r="T101" s="183"/>
      <c r="U101" s="226"/>
      <c r="V101" s="159"/>
      <c r="W101" s="183"/>
      <c r="X101" s="143"/>
    </row>
    <row r="102" spans="2:24" ht="12.75" customHeight="1" x14ac:dyDescent="0.3">
      <c r="B102" s="179"/>
      <c r="C102" s="179"/>
      <c r="D102" s="226"/>
      <c r="E102" s="259"/>
      <c r="F102" s="180"/>
      <c r="G102" s="180"/>
      <c r="H102" s="226"/>
      <c r="I102" s="259"/>
      <c r="J102" s="181"/>
      <c r="K102" s="181"/>
      <c r="L102" s="226"/>
      <c r="M102" s="159"/>
      <c r="N102" s="180"/>
      <c r="O102" s="226"/>
      <c r="P102" s="159"/>
      <c r="Q102" s="182"/>
      <c r="R102" s="226"/>
      <c r="S102" s="159"/>
      <c r="T102" s="183"/>
      <c r="U102" s="226"/>
      <c r="V102" s="159"/>
      <c r="W102" s="183"/>
      <c r="X102" s="143"/>
    </row>
    <row r="103" spans="2:24" ht="12.75" customHeight="1" x14ac:dyDescent="0.3">
      <c r="B103" s="179"/>
      <c r="C103" s="179"/>
      <c r="D103" s="226"/>
      <c r="E103" s="259"/>
      <c r="F103" s="180"/>
      <c r="G103" s="180"/>
      <c r="H103" s="226"/>
      <c r="I103" s="259"/>
      <c r="J103" s="181"/>
      <c r="K103" s="181"/>
      <c r="L103" s="226"/>
      <c r="M103" s="159"/>
      <c r="N103" s="180"/>
      <c r="O103" s="226"/>
      <c r="P103" s="159"/>
      <c r="Q103" s="182"/>
      <c r="R103" s="226"/>
      <c r="S103" s="159"/>
      <c r="T103" s="183"/>
      <c r="U103" s="226"/>
      <c r="V103" s="159"/>
      <c r="W103" s="183"/>
      <c r="X103" s="143"/>
    </row>
    <row r="104" spans="2:24" ht="12.75" customHeight="1" x14ac:dyDescent="0.3">
      <c r="B104" s="179"/>
      <c r="C104" s="179"/>
      <c r="D104" s="226"/>
      <c r="E104" s="259"/>
      <c r="F104" s="180"/>
      <c r="G104" s="180"/>
      <c r="H104" s="226"/>
      <c r="I104" s="259"/>
      <c r="J104" s="181"/>
      <c r="K104" s="181"/>
      <c r="L104" s="226"/>
      <c r="M104" s="159"/>
      <c r="N104" s="180"/>
      <c r="O104" s="226"/>
      <c r="P104" s="159"/>
      <c r="Q104" s="182"/>
      <c r="R104" s="226"/>
      <c r="S104" s="159"/>
      <c r="T104" s="183"/>
      <c r="U104" s="226"/>
      <c r="V104" s="159"/>
      <c r="W104" s="183"/>
      <c r="X104" s="143"/>
    </row>
    <row r="105" spans="2:24" ht="12.75" customHeight="1" x14ac:dyDescent="0.3">
      <c r="B105" s="179"/>
      <c r="C105" s="179"/>
      <c r="D105" s="226"/>
      <c r="E105" s="259"/>
      <c r="F105" s="180"/>
      <c r="G105" s="180"/>
      <c r="H105" s="226"/>
      <c r="I105" s="259"/>
      <c r="J105" s="181"/>
      <c r="K105" s="181"/>
      <c r="L105" s="226"/>
      <c r="M105" s="159"/>
      <c r="N105" s="180"/>
      <c r="O105" s="226"/>
      <c r="P105" s="159"/>
      <c r="Q105" s="182"/>
      <c r="R105" s="226"/>
      <c r="S105" s="159"/>
      <c r="T105" s="183"/>
      <c r="U105" s="226"/>
      <c r="V105" s="159"/>
      <c r="W105" s="183"/>
      <c r="X105" s="143"/>
    </row>
    <row r="106" spans="2:24" ht="12.75" customHeight="1" x14ac:dyDescent="0.3">
      <c r="B106" s="179"/>
      <c r="C106" s="179"/>
      <c r="D106" s="226"/>
      <c r="E106" s="259"/>
      <c r="F106" s="180"/>
      <c r="G106" s="180"/>
      <c r="H106" s="226"/>
      <c r="I106" s="259"/>
      <c r="J106" s="181"/>
      <c r="K106" s="181"/>
      <c r="L106" s="226"/>
      <c r="M106" s="159"/>
      <c r="N106" s="180"/>
      <c r="O106" s="226"/>
      <c r="P106" s="159"/>
      <c r="Q106" s="182"/>
      <c r="R106" s="226"/>
      <c r="S106" s="159"/>
      <c r="T106" s="183"/>
      <c r="U106" s="226"/>
      <c r="V106" s="159"/>
      <c r="W106" s="183"/>
      <c r="X106" s="143"/>
    </row>
    <row r="107" spans="2:24" ht="12.75" customHeight="1" x14ac:dyDescent="0.3">
      <c r="B107" s="179"/>
      <c r="C107" s="179"/>
      <c r="D107" s="226"/>
      <c r="E107" s="259"/>
      <c r="F107" s="180"/>
      <c r="G107" s="180"/>
      <c r="H107" s="226"/>
      <c r="I107" s="259"/>
      <c r="J107" s="181"/>
      <c r="K107" s="181"/>
      <c r="L107" s="226"/>
      <c r="M107" s="159"/>
      <c r="N107" s="180"/>
      <c r="O107" s="226"/>
      <c r="P107" s="159"/>
      <c r="Q107" s="182"/>
      <c r="R107" s="226"/>
      <c r="S107" s="159"/>
      <c r="T107" s="183"/>
      <c r="U107" s="226"/>
      <c r="V107" s="159"/>
      <c r="W107" s="183"/>
      <c r="X107" s="143"/>
    </row>
    <row r="108" spans="2:24" ht="12.75" customHeight="1" x14ac:dyDescent="0.3">
      <c r="B108" s="179"/>
      <c r="C108" s="179"/>
      <c r="D108" s="226"/>
      <c r="E108" s="259"/>
      <c r="F108" s="180"/>
      <c r="G108" s="180"/>
      <c r="H108" s="226"/>
      <c r="I108" s="259"/>
      <c r="J108" s="181"/>
      <c r="K108" s="181"/>
      <c r="L108" s="226"/>
      <c r="M108" s="159"/>
      <c r="N108" s="180"/>
      <c r="O108" s="226"/>
      <c r="P108" s="159"/>
      <c r="Q108" s="182"/>
      <c r="R108" s="226"/>
      <c r="S108" s="159"/>
      <c r="T108" s="183"/>
      <c r="U108" s="226"/>
      <c r="V108" s="159"/>
      <c r="W108" s="183"/>
      <c r="X108" s="143"/>
    </row>
    <row r="109" spans="2:24" ht="12.75" customHeight="1" x14ac:dyDescent="0.3">
      <c r="B109" s="179"/>
      <c r="C109" s="179"/>
      <c r="D109" s="226"/>
      <c r="E109" s="259"/>
      <c r="F109" s="180"/>
      <c r="G109" s="180"/>
      <c r="H109" s="226"/>
      <c r="I109" s="259"/>
      <c r="J109" s="181"/>
      <c r="K109" s="181"/>
      <c r="L109" s="226"/>
      <c r="M109" s="159"/>
      <c r="N109" s="180"/>
      <c r="O109" s="226"/>
      <c r="P109" s="159"/>
      <c r="Q109" s="182"/>
      <c r="R109" s="226"/>
      <c r="S109" s="159"/>
      <c r="T109" s="183"/>
      <c r="U109" s="226"/>
      <c r="V109" s="159"/>
      <c r="W109" s="183"/>
      <c r="X109" s="143"/>
    </row>
    <row r="110" spans="2:24" ht="12.75" customHeight="1" x14ac:dyDescent="0.3">
      <c r="B110" s="179"/>
      <c r="C110" s="179"/>
      <c r="D110" s="226"/>
      <c r="E110" s="259"/>
      <c r="F110" s="180"/>
      <c r="G110" s="180"/>
      <c r="H110" s="226"/>
      <c r="I110" s="259"/>
      <c r="J110" s="181"/>
      <c r="K110" s="181"/>
      <c r="L110" s="226"/>
      <c r="M110" s="159"/>
      <c r="N110" s="180"/>
      <c r="O110" s="226"/>
      <c r="P110" s="159"/>
      <c r="Q110" s="182"/>
      <c r="R110" s="226"/>
      <c r="S110" s="159"/>
      <c r="T110" s="183"/>
      <c r="U110" s="226"/>
      <c r="V110" s="159"/>
      <c r="W110" s="183"/>
      <c r="X110" s="143"/>
    </row>
    <row r="111" spans="2:24" ht="12.75" customHeight="1" x14ac:dyDescent="0.3">
      <c r="B111" s="194"/>
      <c r="C111" s="194"/>
      <c r="D111" s="232"/>
      <c r="E111" s="266"/>
      <c r="F111" s="196"/>
      <c r="G111" s="196"/>
      <c r="H111" s="232"/>
      <c r="I111" s="266"/>
      <c r="J111" s="197"/>
      <c r="K111" s="197"/>
      <c r="L111" s="232"/>
      <c r="M111" s="195"/>
      <c r="N111" s="196"/>
      <c r="O111" s="232"/>
      <c r="P111" s="195"/>
      <c r="Q111" s="198"/>
      <c r="R111" s="232"/>
      <c r="S111" s="195"/>
      <c r="T111" s="199"/>
      <c r="U111" s="232"/>
      <c r="V111" s="195"/>
      <c r="W111" s="199"/>
      <c r="X111" s="143"/>
    </row>
    <row r="112" spans="2:24" ht="12.75" customHeight="1" x14ac:dyDescent="0.3">
      <c r="B112" s="179"/>
      <c r="C112" s="179"/>
      <c r="D112" s="226"/>
      <c r="E112" s="259"/>
      <c r="F112" s="180"/>
      <c r="G112" s="180"/>
      <c r="H112" s="226"/>
      <c r="I112" s="259"/>
      <c r="J112" s="181"/>
      <c r="K112" s="181"/>
      <c r="L112" s="226"/>
      <c r="M112" s="159"/>
      <c r="N112" s="180"/>
      <c r="O112" s="226"/>
      <c r="P112" s="159"/>
      <c r="Q112" s="182"/>
      <c r="R112" s="226"/>
      <c r="S112" s="159"/>
      <c r="T112" s="183"/>
      <c r="U112" s="226"/>
      <c r="V112" s="159"/>
      <c r="W112" s="183"/>
      <c r="X112" s="143"/>
    </row>
    <row r="113" spans="2:24" ht="12.75" customHeight="1" x14ac:dyDescent="0.3">
      <c r="B113" s="179"/>
      <c r="C113" s="179"/>
      <c r="D113" s="226"/>
      <c r="E113" s="259"/>
      <c r="F113" s="180"/>
      <c r="G113" s="180"/>
      <c r="H113" s="226"/>
      <c r="I113" s="259"/>
      <c r="J113" s="181"/>
      <c r="K113" s="181"/>
      <c r="L113" s="226"/>
      <c r="M113" s="159"/>
      <c r="N113" s="180"/>
      <c r="O113" s="226"/>
      <c r="P113" s="159"/>
      <c r="Q113" s="182"/>
      <c r="R113" s="226"/>
      <c r="S113" s="159"/>
      <c r="T113" s="183"/>
      <c r="U113" s="226"/>
      <c r="V113" s="159"/>
      <c r="W113" s="183"/>
      <c r="X113" s="143"/>
    </row>
    <row r="114" spans="2:24" ht="12.75" customHeight="1" x14ac:dyDescent="0.3">
      <c r="B114" s="179"/>
      <c r="C114" s="179"/>
      <c r="D114" s="226"/>
      <c r="E114" s="259"/>
      <c r="F114" s="180"/>
      <c r="G114" s="180"/>
      <c r="H114" s="226"/>
      <c r="I114" s="259"/>
      <c r="J114" s="181"/>
      <c r="K114" s="181"/>
      <c r="L114" s="226"/>
      <c r="M114" s="159"/>
      <c r="N114" s="180"/>
      <c r="O114" s="226"/>
      <c r="P114" s="159"/>
      <c r="Q114" s="182"/>
      <c r="R114" s="226"/>
      <c r="S114" s="159"/>
      <c r="T114" s="183"/>
      <c r="U114" s="226"/>
      <c r="V114" s="159"/>
      <c r="W114" s="183"/>
      <c r="X114" s="143"/>
    </row>
    <row r="115" spans="2:24" ht="12.75" customHeight="1" x14ac:dyDescent="0.3">
      <c r="B115" s="179"/>
      <c r="C115" s="179"/>
      <c r="D115" s="226"/>
      <c r="E115" s="259"/>
      <c r="F115" s="180"/>
      <c r="G115" s="180"/>
      <c r="H115" s="226"/>
      <c r="I115" s="259"/>
      <c r="J115" s="181"/>
      <c r="K115" s="181"/>
      <c r="L115" s="226"/>
      <c r="M115" s="159"/>
      <c r="N115" s="180"/>
      <c r="O115" s="226"/>
      <c r="P115" s="159"/>
      <c r="Q115" s="182"/>
      <c r="R115" s="226"/>
      <c r="S115" s="159"/>
      <c r="T115" s="183"/>
      <c r="U115" s="226"/>
      <c r="V115" s="159"/>
      <c r="W115" s="183"/>
      <c r="X115" s="143"/>
    </row>
    <row r="116" spans="2:24" ht="12.75" customHeight="1" x14ac:dyDescent="0.3">
      <c r="B116" s="179"/>
      <c r="C116" s="179"/>
      <c r="D116" s="226"/>
      <c r="E116" s="259"/>
      <c r="F116" s="180"/>
      <c r="G116" s="180"/>
      <c r="H116" s="226"/>
      <c r="I116" s="259"/>
      <c r="J116" s="181"/>
      <c r="K116" s="181"/>
      <c r="L116" s="226"/>
      <c r="M116" s="159"/>
      <c r="N116" s="180"/>
      <c r="O116" s="226"/>
      <c r="P116" s="159"/>
      <c r="Q116" s="182"/>
      <c r="R116" s="226"/>
      <c r="S116" s="159"/>
      <c r="T116" s="183"/>
      <c r="U116" s="226"/>
      <c r="V116" s="159"/>
      <c r="W116" s="183"/>
      <c r="X116" s="143"/>
    </row>
    <row r="117" spans="2:24" ht="12.75" customHeight="1" x14ac:dyDescent="0.3">
      <c r="B117" s="179"/>
      <c r="C117" s="179"/>
      <c r="D117" s="226"/>
      <c r="E117" s="259"/>
      <c r="F117" s="180"/>
      <c r="G117" s="180"/>
      <c r="H117" s="226"/>
      <c r="I117" s="259"/>
      <c r="J117" s="181"/>
      <c r="K117" s="181"/>
      <c r="L117" s="226"/>
      <c r="M117" s="159"/>
      <c r="N117" s="180"/>
      <c r="O117" s="226"/>
      <c r="P117" s="159"/>
      <c r="Q117" s="182"/>
      <c r="R117" s="226"/>
      <c r="S117" s="159"/>
      <c r="T117" s="183"/>
      <c r="U117" s="226"/>
      <c r="V117" s="159"/>
      <c r="W117" s="183"/>
      <c r="X117" s="143"/>
    </row>
    <row r="118" spans="2:24" ht="12.75" customHeight="1" x14ac:dyDescent="0.3">
      <c r="B118" s="179"/>
      <c r="C118" s="179"/>
      <c r="D118" s="226"/>
      <c r="E118" s="259"/>
      <c r="F118" s="180"/>
      <c r="G118" s="180"/>
      <c r="H118" s="226"/>
      <c r="I118" s="259"/>
      <c r="J118" s="181"/>
      <c r="K118" s="181"/>
      <c r="L118" s="226"/>
      <c r="M118" s="159"/>
      <c r="N118" s="180"/>
      <c r="O118" s="226"/>
      <c r="P118" s="159"/>
      <c r="Q118" s="182"/>
      <c r="R118" s="226"/>
      <c r="S118" s="159"/>
      <c r="T118" s="183"/>
      <c r="U118" s="226"/>
      <c r="V118" s="159"/>
      <c r="W118" s="183"/>
      <c r="X118" s="143"/>
    </row>
    <row r="119" spans="2:24" ht="12.75" customHeight="1" x14ac:dyDescent="0.3">
      <c r="B119" s="179"/>
      <c r="C119" s="179"/>
      <c r="D119" s="226"/>
      <c r="E119" s="259"/>
      <c r="F119" s="180"/>
      <c r="G119" s="180"/>
      <c r="H119" s="226"/>
      <c r="I119" s="259"/>
      <c r="J119" s="181"/>
      <c r="K119" s="181"/>
      <c r="L119" s="226"/>
      <c r="M119" s="159"/>
      <c r="N119" s="180"/>
      <c r="O119" s="226"/>
      <c r="P119" s="159"/>
      <c r="Q119" s="182"/>
      <c r="R119" s="226"/>
      <c r="S119" s="159"/>
      <c r="T119" s="183"/>
      <c r="U119" s="226"/>
      <c r="V119" s="159"/>
      <c r="W119" s="183"/>
      <c r="X119" s="143"/>
    </row>
    <row r="120" spans="2:24" ht="12.75" customHeight="1" x14ac:dyDescent="0.3">
      <c r="B120" s="179"/>
      <c r="C120" s="179"/>
      <c r="D120" s="226"/>
      <c r="E120" s="259"/>
      <c r="F120" s="180"/>
      <c r="G120" s="180"/>
      <c r="H120" s="226"/>
      <c r="I120" s="259"/>
      <c r="J120" s="181"/>
      <c r="K120" s="181"/>
      <c r="L120" s="226"/>
      <c r="M120" s="159"/>
      <c r="N120" s="180"/>
      <c r="O120" s="226"/>
      <c r="P120" s="159"/>
      <c r="Q120" s="182"/>
      <c r="R120" s="226"/>
      <c r="S120" s="159"/>
      <c r="T120" s="183"/>
      <c r="U120" s="226"/>
      <c r="V120" s="159"/>
      <c r="W120" s="183"/>
      <c r="X120" s="143"/>
    </row>
    <row r="121" spans="2:24" ht="12.75" customHeight="1" x14ac:dyDescent="0.3">
      <c r="B121" s="180"/>
      <c r="C121" s="180"/>
      <c r="D121" s="226"/>
      <c r="E121" s="226"/>
      <c r="F121" s="180"/>
      <c r="G121" s="180"/>
      <c r="H121" s="226"/>
      <c r="I121" s="233"/>
      <c r="J121" s="181"/>
      <c r="K121" s="181"/>
      <c r="M121" s="180"/>
      <c r="N121" s="180"/>
      <c r="O121" s="252"/>
      <c r="P121" s="182"/>
      <c r="Q121" s="182"/>
      <c r="R121" s="233"/>
      <c r="S121" s="183"/>
      <c r="T121" s="183"/>
      <c r="U121" s="233"/>
      <c r="V121" s="183"/>
      <c r="W121" s="183"/>
      <c r="X121" s="143"/>
    </row>
    <row r="122" spans="2:24" ht="12.75" customHeight="1" x14ac:dyDescent="0.3">
      <c r="B122" s="180"/>
      <c r="C122" s="180"/>
      <c r="D122" s="226"/>
      <c r="E122" s="226"/>
      <c r="F122" s="180"/>
      <c r="G122" s="180"/>
      <c r="H122" s="226"/>
      <c r="I122" s="233"/>
      <c r="J122" s="181"/>
      <c r="K122" s="181"/>
      <c r="M122" s="180"/>
      <c r="N122" s="180"/>
      <c r="O122" s="252"/>
      <c r="P122" s="182"/>
      <c r="Q122" s="182"/>
      <c r="R122" s="233"/>
      <c r="S122" s="183"/>
      <c r="T122" s="183"/>
      <c r="U122" s="233"/>
      <c r="V122" s="183"/>
      <c r="W122" s="183"/>
      <c r="X122" s="143"/>
    </row>
    <row r="123" spans="2:24" ht="12.75" customHeight="1" x14ac:dyDescent="0.3">
      <c r="D123" s="226"/>
      <c r="E123" s="226"/>
      <c r="H123" s="226"/>
      <c r="I123" s="233"/>
      <c r="J123" s="121"/>
      <c r="K123" s="121"/>
      <c r="O123" s="252"/>
      <c r="P123" s="132"/>
      <c r="Q123" s="132"/>
      <c r="R123" s="233"/>
      <c r="S123" s="183"/>
      <c r="T123" s="125"/>
      <c r="U123" s="233"/>
      <c r="V123" s="183"/>
      <c r="W123" s="125"/>
      <c r="X123" s="143"/>
    </row>
    <row r="124" spans="2:24" ht="12.75" customHeight="1" x14ac:dyDescent="0.3">
      <c r="B124" s="51" t="s">
        <v>13</v>
      </c>
      <c r="D124" s="226"/>
      <c r="E124" s="226"/>
      <c r="H124" s="226"/>
      <c r="I124" s="352"/>
      <c r="J124" s="352"/>
      <c r="K124" s="121"/>
      <c r="O124" s="353" t="s">
        <v>22</v>
      </c>
      <c r="P124" s="353"/>
      <c r="Q124" s="132"/>
      <c r="R124" s="308">
        <f ca="1">NOW()</f>
        <v>46208.630413657411</v>
      </c>
      <c r="S124" s="309"/>
      <c r="T124" s="125"/>
      <c r="U124" s="308">
        <f ca="1">NOW()</f>
        <v>46208.630413657411</v>
      </c>
      <c r="V124" s="309"/>
      <c r="W124" s="125"/>
      <c r="X124" s="143"/>
    </row>
    <row r="125" spans="2:24" ht="9.75" customHeight="1" x14ac:dyDescent="0.3">
      <c r="B125" s="50"/>
      <c r="C125" s="53"/>
      <c r="D125" s="233"/>
      <c r="E125" s="233"/>
      <c r="H125" s="233"/>
      <c r="I125" s="233"/>
      <c r="J125" s="200"/>
      <c r="K125" s="200"/>
      <c r="L125" s="233"/>
    </row>
    <row r="126" spans="2:24" x14ac:dyDescent="0.3">
      <c r="B126" s="201" t="s">
        <v>36</v>
      </c>
      <c r="C126" s="53"/>
      <c r="D126" s="226"/>
      <c r="H126" s="212"/>
      <c r="I126" s="212"/>
      <c r="J126" s="50"/>
      <c r="K126" s="50"/>
      <c r="L126" s="233"/>
    </row>
    <row r="127" spans="2:24" x14ac:dyDescent="0.3">
      <c r="B127" s="369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202"/>
      <c r="U127" s="202"/>
      <c r="V127" s="202"/>
      <c r="W127" s="202"/>
      <c r="X127" s="203"/>
    </row>
    <row r="128" spans="2:24" x14ac:dyDescent="0.3"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202"/>
      <c r="U128" s="202"/>
      <c r="V128" s="202"/>
      <c r="W128" s="202"/>
      <c r="X128" s="203"/>
    </row>
    <row r="129" spans="2:24" ht="11.25" customHeight="1" x14ac:dyDescent="0.3"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202"/>
      <c r="U129" s="202"/>
      <c r="V129" s="202"/>
      <c r="W129" s="202"/>
      <c r="X129" s="203"/>
    </row>
    <row r="130" spans="2:24" ht="18.75" customHeight="1" x14ac:dyDescent="0.3">
      <c r="B130" s="371"/>
      <c r="C130" s="371"/>
      <c r="D130" s="371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202"/>
      <c r="U130" s="202"/>
      <c r="V130" s="202"/>
      <c r="W130" s="202"/>
      <c r="X130" s="203"/>
    </row>
    <row r="131" spans="2:24" x14ac:dyDescent="0.3"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202"/>
      <c r="U131" s="202"/>
      <c r="V131" s="202"/>
      <c r="W131" s="202"/>
      <c r="X131" s="203"/>
    </row>
    <row r="132" spans="2:24" x14ac:dyDescent="0.3">
      <c r="B132" s="371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202"/>
      <c r="U132" s="202"/>
      <c r="V132" s="202"/>
      <c r="W132" s="202"/>
      <c r="X132" s="203"/>
    </row>
    <row r="133" spans="2:24" x14ac:dyDescent="0.3"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202"/>
      <c r="U133" s="202"/>
      <c r="V133" s="202"/>
      <c r="W133" s="202"/>
      <c r="X133" s="203"/>
    </row>
    <row r="134" spans="2:24" x14ac:dyDescent="0.3">
      <c r="B134" s="371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202"/>
      <c r="U134" s="202"/>
      <c r="V134" s="202"/>
      <c r="W134" s="202"/>
      <c r="X134" s="203"/>
    </row>
    <row r="135" spans="2:24" x14ac:dyDescent="0.3">
      <c r="B135" s="371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202"/>
      <c r="U135" s="202"/>
      <c r="V135" s="202"/>
      <c r="W135" s="202"/>
      <c r="X135" s="203"/>
    </row>
    <row r="136" spans="2:24" x14ac:dyDescent="0.3">
      <c r="B136" s="371"/>
      <c r="C136" s="371"/>
      <c r="D136" s="371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202"/>
      <c r="U136" s="202"/>
      <c r="V136" s="202"/>
      <c r="W136" s="202"/>
      <c r="X136" s="203"/>
    </row>
    <row r="137" spans="2:24" x14ac:dyDescent="0.3">
      <c r="B137" s="371"/>
      <c r="C137" s="371"/>
      <c r="D137" s="371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202"/>
      <c r="U137" s="202"/>
      <c r="V137" s="202"/>
      <c r="W137" s="202"/>
    </row>
    <row r="138" spans="2:24" x14ac:dyDescent="0.3">
      <c r="B138" s="371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202"/>
      <c r="U138" s="202"/>
      <c r="V138" s="202"/>
      <c r="W138" s="202"/>
    </row>
    <row r="139" spans="2:24" x14ac:dyDescent="0.3"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202"/>
      <c r="U139" s="202"/>
      <c r="V139" s="202"/>
      <c r="W139" s="202"/>
    </row>
    <row r="140" spans="2:24" x14ac:dyDescent="0.3"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202"/>
      <c r="U140" s="202"/>
      <c r="V140" s="202"/>
      <c r="W140" s="202"/>
    </row>
    <row r="141" spans="2:24" x14ac:dyDescent="0.3">
      <c r="B141" s="371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202"/>
      <c r="U141" s="202"/>
      <c r="V141" s="202"/>
      <c r="W141" s="202"/>
    </row>
    <row r="142" spans="2:24" x14ac:dyDescent="0.3">
      <c r="B142" s="371"/>
      <c r="C142" s="371"/>
      <c r="D142" s="371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202"/>
      <c r="U142" s="202"/>
      <c r="V142" s="202"/>
      <c r="W142" s="202"/>
    </row>
    <row r="143" spans="2:24" x14ac:dyDescent="0.3">
      <c r="B143" s="371"/>
      <c r="C143" s="371"/>
      <c r="D143" s="371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202"/>
      <c r="U143" s="202"/>
      <c r="V143" s="202"/>
      <c r="W143" s="202"/>
    </row>
    <row r="144" spans="2:24" x14ac:dyDescent="0.3">
      <c r="B144" s="371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202"/>
      <c r="U144" s="202"/>
      <c r="V144" s="202"/>
      <c r="W144" s="202"/>
    </row>
  </sheetData>
  <mergeCells count="170">
    <mergeCell ref="H28:I28"/>
    <mergeCell ref="D13:F13"/>
    <mergeCell ref="H13:J13"/>
    <mergeCell ref="D19:E19"/>
    <mergeCell ref="H19:I19"/>
    <mergeCell ref="D23:E23"/>
    <mergeCell ref="H23:I23"/>
    <mergeCell ref="D22:E22"/>
    <mergeCell ref="H22:I22"/>
    <mergeCell ref="D20:E20"/>
    <mergeCell ref="H20:I20"/>
    <mergeCell ref="B2:S2"/>
    <mergeCell ref="B21:C21"/>
    <mergeCell ref="D21:E21"/>
    <mergeCell ref="H21:I21"/>
    <mergeCell ref="B22:C22"/>
    <mergeCell ref="B10:S10"/>
    <mergeCell ref="B11:S11"/>
    <mergeCell ref="B4:C4"/>
    <mergeCell ref="D4:J4"/>
    <mergeCell ref="B6:C6"/>
    <mergeCell ref="D6:S6"/>
    <mergeCell ref="D14:E14"/>
    <mergeCell ref="H14:I14"/>
    <mergeCell ref="D18:E18"/>
    <mergeCell ref="H18:I18"/>
    <mergeCell ref="B8:C8"/>
    <mergeCell ref="D8:S8"/>
    <mergeCell ref="B16:S16"/>
    <mergeCell ref="L13:M13"/>
    <mergeCell ref="O13:P13"/>
    <mergeCell ref="R13:S13"/>
    <mergeCell ref="D29:E29"/>
    <mergeCell ref="H29:I29"/>
    <mergeCell ref="D30:E30"/>
    <mergeCell ref="H30:I30"/>
    <mergeCell ref="D24:E24"/>
    <mergeCell ref="H24:I24"/>
    <mergeCell ref="B26:S26"/>
    <mergeCell ref="D40:E40"/>
    <mergeCell ref="H40:I40"/>
    <mergeCell ref="D27:E27"/>
    <mergeCell ref="H27:I27"/>
    <mergeCell ref="D34:E34"/>
    <mergeCell ref="H34:I34"/>
    <mergeCell ref="D35:E35"/>
    <mergeCell ref="H35:I35"/>
    <mergeCell ref="D36:E36"/>
    <mergeCell ref="H36:I36"/>
    <mergeCell ref="D31:E31"/>
    <mergeCell ref="H31:I31"/>
    <mergeCell ref="D32:E32"/>
    <mergeCell ref="H32:I32"/>
    <mergeCell ref="D33:E33"/>
    <mergeCell ref="H33:I33"/>
    <mergeCell ref="D28:E28"/>
    <mergeCell ref="D41:E41"/>
    <mergeCell ref="H41:I41"/>
    <mergeCell ref="B43:S43"/>
    <mergeCell ref="B46:C46"/>
    <mergeCell ref="D46:E46"/>
    <mergeCell ref="H46:I46"/>
    <mergeCell ref="D37:E37"/>
    <mergeCell ref="H37:I37"/>
    <mergeCell ref="D38:E38"/>
    <mergeCell ref="H38:I38"/>
    <mergeCell ref="B39:C39"/>
    <mergeCell ref="D39:E39"/>
    <mergeCell ref="H39:I39"/>
    <mergeCell ref="H53:J53"/>
    <mergeCell ref="L53:M53"/>
    <mergeCell ref="O53:P53"/>
    <mergeCell ref="R53:S53"/>
    <mergeCell ref="H54:J54"/>
    <mergeCell ref="L54:M54"/>
    <mergeCell ref="O54:P54"/>
    <mergeCell ref="R54:S54"/>
    <mergeCell ref="B49:S49"/>
    <mergeCell ref="D51:E51"/>
    <mergeCell ref="H51:L51"/>
    <mergeCell ref="H52:J52"/>
    <mergeCell ref="L52:M52"/>
    <mergeCell ref="O52:P52"/>
    <mergeCell ref="R52:S52"/>
    <mergeCell ref="B127:S144"/>
    <mergeCell ref="D61:E61"/>
    <mergeCell ref="D52:E52"/>
    <mergeCell ref="D53:E53"/>
    <mergeCell ref="D54:E54"/>
    <mergeCell ref="D55:E55"/>
    <mergeCell ref="D59:E59"/>
    <mergeCell ref="H61:J61"/>
    <mergeCell ref="L61:M61"/>
    <mergeCell ref="O61:P61"/>
    <mergeCell ref="R61:S61"/>
    <mergeCell ref="H57:J57"/>
    <mergeCell ref="L57:M57"/>
    <mergeCell ref="O57:P57"/>
    <mergeCell ref="R57:S57"/>
    <mergeCell ref="B58:C58"/>
    <mergeCell ref="D58:E58"/>
    <mergeCell ref="H58:I58"/>
    <mergeCell ref="H55:J55"/>
    <mergeCell ref="L55:M55"/>
    <mergeCell ref="O55:P55"/>
    <mergeCell ref="R55:S55"/>
    <mergeCell ref="H56:J56"/>
    <mergeCell ref="L56:M56"/>
    <mergeCell ref="D56:E56"/>
    <mergeCell ref="D57:E57"/>
    <mergeCell ref="I124:J124"/>
    <mergeCell ref="O124:P124"/>
    <mergeCell ref="R124:S124"/>
    <mergeCell ref="O56:P56"/>
    <mergeCell ref="R56:S56"/>
    <mergeCell ref="B64:S64"/>
    <mergeCell ref="B67:C67"/>
    <mergeCell ref="D67:E67"/>
    <mergeCell ref="D68:E68"/>
    <mergeCell ref="O67:P67"/>
    <mergeCell ref="R67:S67"/>
    <mergeCell ref="H69:I69"/>
    <mergeCell ref="L69:M69"/>
    <mergeCell ref="O69:P69"/>
    <mergeCell ref="R69:S69"/>
    <mergeCell ref="B71:C71"/>
    <mergeCell ref="D71:E71"/>
    <mergeCell ref="H71:I71"/>
    <mergeCell ref="H67:I67"/>
    <mergeCell ref="L67:M67"/>
    <mergeCell ref="B75:J75"/>
    <mergeCell ref="D66:E66"/>
    <mergeCell ref="D77:E77"/>
    <mergeCell ref="H77:I77"/>
    <mergeCell ref="L77:M77"/>
    <mergeCell ref="O77:P77"/>
    <mergeCell ref="R77:S77"/>
    <mergeCell ref="L71:M71"/>
    <mergeCell ref="O71:P71"/>
    <mergeCell ref="R71:S71"/>
    <mergeCell ref="D73:E73"/>
    <mergeCell ref="H73:I73"/>
    <mergeCell ref="L73:M73"/>
    <mergeCell ref="O73:P73"/>
    <mergeCell ref="R73:S73"/>
    <mergeCell ref="B73:C73"/>
    <mergeCell ref="H68:I68"/>
    <mergeCell ref="L68:M68"/>
    <mergeCell ref="O68:P68"/>
    <mergeCell ref="R68:S68"/>
    <mergeCell ref="H66:I66"/>
    <mergeCell ref="L66:M66"/>
    <mergeCell ref="O66:P66"/>
    <mergeCell ref="R66:S66"/>
    <mergeCell ref="U67:V67"/>
    <mergeCell ref="U68:V68"/>
    <mergeCell ref="U69:V69"/>
    <mergeCell ref="U71:V71"/>
    <mergeCell ref="U73:V73"/>
    <mergeCell ref="U77:V77"/>
    <mergeCell ref="U124:V124"/>
    <mergeCell ref="U13:V13"/>
    <mergeCell ref="U52:V52"/>
    <mergeCell ref="U53:V53"/>
    <mergeCell ref="U54:V54"/>
    <mergeCell ref="U55:V55"/>
    <mergeCell ref="U56:V56"/>
    <mergeCell ref="U57:V57"/>
    <mergeCell ref="U61:V61"/>
    <mergeCell ref="U66:V66"/>
  </mergeCells>
  <conditionalFormatting sqref="D61">
    <cfRule type="cellIs" dxfId="4" priority="5" operator="lessThan">
      <formula>1.1</formula>
    </cfRule>
  </conditionalFormatting>
  <conditionalFormatting sqref="G61:J61 L61:M61 O61">
    <cfRule type="cellIs" dxfId="3" priority="4" operator="lessThan">
      <formula>1.1</formula>
    </cfRule>
  </conditionalFormatting>
  <conditionalFormatting sqref="R61:S61">
    <cfRule type="cellIs" dxfId="2" priority="2" operator="lessThan">
      <formula>1.1</formula>
    </cfRule>
  </conditionalFormatting>
  <conditionalFormatting sqref="U61:V61">
    <cfRule type="cellIs" dxfId="1" priority="1" operator="lessThan">
      <formula>1.1</formula>
    </cfRule>
  </conditionalFormatting>
  <conditionalFormatting sqref="Y61:Z61">
    <cfRule type="cellIs" dxfId="0" priority="3" operator="lessThan">
      <formula>1.1</formula>
    </cfRule>
  </conditionalFormatting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d4f1eeb1-1da9-497a-b6e2-39e0379f60e4}" enabled="1" method="Standard" siteId="{bc77cbb2-dc6d-456e-8899-c2201a88f3a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Studio</vt:lpstr>
    </vt:vector>
  </TitlesOfParts>
  <Company>Phoenix I.B.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Oscar Corsini</cp:lastModifiedBy>
  <cp:lastPrinted>2025-08-07T11:42:46Z</cp:lastPrinted>
  <dcterms:created xsi:type="dcterms:W3CDTF">2013-04-11T12:51:34Z</dcterms:created>
  <dcterms:modified xsi:type="dcterms:W3CDTF">2026-07-05T13:08:17Z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f1eeb1-1da9-497a-b6e2-39e0379f60e4_Enabled">
    <vt:lpwstr>true</vt:lpwstr>
  </property>
  <property fmtid="{D5CDD505-2E9C-101B-9397-08002B2CF9AE}" pid="3" name="MSIP_Label_d4f1eeb1-1da9-497a-b6e2-39e0379f60e4_SetDate">
    <vt:lpwstr>2024-01-10T16:13:15Z</vt:lpwstr>
  </property>
  <property fmtid="{D5CDD505-2E9C-101B-9397-08002B2CF9AE}" pid="4" name="MSIP_Label_d4f1eeb1-1da9-497a-b6e2-39e0379f60e4_Method">
    <vt:lpwstr>Standard</vt:lpwstr>
  </property>
  <property fmtid="{D5CDD505-2E9C-101B-9397-08002B2CF9AE}" pid="5" name="MSIP_Label_d4f1eeb1-1da9-497a-b6e2-39e0379f60e4_Name">
    <vt:lpwstr>Interno - Classificazione</vt:lpwstr>
  </property>
  <property fmtid="{D5CDD505-2E9C-101B-9397-08002B2CF9AE}" pid="6" name="MSIP_Label_d4f1eeb1-1da9-497a-b6e2-39e0379f60e4_SiteId">
    <vt:lpwstr>bc77cbb2-dc6d-456e-8899-c2201a88f3a7</vt:lpwstr>
  </property>
  <property fmtid="{D5CDD505-2E9C-101B-9397-08002B2CF9AE}" pid="7" name="MSIP_Label_d4f1eeb1-1da9-497a-b6e2-39e0379f60e4_ActionId">
    <vt:lpwstr>53ed4415-7306-4eb8-87bf-69b19d166729</vt:lpwstr>
  </property>
  <property fmtid="{D5CDD505-2E9C-101B-9397-08002B2CF9AE}" pid="8" name="MSIP_Label_d4f1eeb1-1da9-497a-b6e2-39e0379f60e4_ContentBits">
    <vt:lpwstr>1</vt:lpwstr>
  </property>
</Properties>
</file>
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udi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<sst xmlns="http://schemas.openxmlformats.org/spreadsheetml/2006/main" count="123" uniqueCount="85">
  <si>
    <t xml:space="preserve">D  A  T  I     A  N  A  G  R  A  F  I  C  I </t>
  </si>
  <si>
    <t xml:space="preserve">FILIALE:</t>
  </si>
  <si>
    <t xml:space="preserve">CAG</t>
  </si>
  <si>
    <t xml:space="preserve">INTESTAZIONE:</t>
  </si>
  <si>
    <t xml:space="preserve">SETTORE:</t>
  </si>
  <si>
    <t xml:space="preserve">S  T  I  M  A     d e l     M  A  R  G  I  N  E     E  C  O  N  O  M  I  C  O</t>
  </si>
  <si>
    <t xml:space="preserve">d e l l ' A Z I E N D A   A G R I C O L A </t>
  </si>
  <si>
    <t xml:space="preserve">Periodo</t>
  </si>
  <si>
    <t xml:space="preserve">(€ .000)</t>
  </si>
  <si>
    <t xml:space="preserve">%</t>
  </si>
  <si>
    <t xml:space="preserve">Δ (Y/Y-1)</t>
  </si>
  <si>
    <t xml:space="preserve">E   N   T   R   A   T   E</t>
  </si>
  <si>
    <t xml:space="preserve">Corrispettivi normali</t>
  </si>
  <si>
    <t xml:space="preserve">GESTIONE FISCALE</t>
  </si>
  <si>
    <t xml:space="preserve">Attività connessa</t>
  </si>
  <si>
    <t xml:space="preserve">PAC e contributi pubblici</t>
  </si>
  <si>
    <t xml:space="preserve">Iva vendite (VE26)</t>
  </si>
  <si>
    <t xml:space="preserve">Gestione fiscale</t>
  </si>
  <si>
    <t xml:space="preserve">Iva acquisti (VF27)</t>
  </si>
  <si>
    <t xml:space="preserve">Variazione rimanenze</t>
  </si>
  <si>
    <t xml:space="preserve">Imposta dovuta (VL3)</t>
  </si>
  <si>
    <t xml:space="preserve">Altro</t>
  </si>
  <si>
    <t xml:space="preserve">Netto gestione</t>
  </si>
  <si>
    <t xml:space="preserve">Totale entrate</t>
  </si>
  <si>
    <t xml:space="preserve">U   S   C   I   T   E</t>
  </si>
  <si>
    <t xml:space="preserve">Costi normali</t>
  </si>
  <si>
    <t xml:space="preserve">di cui</t>
  </si>
  <si>
    <t xml:space="preserve">materie prime e merci</t>
  </si>
  <si>
    <t xml:space="preserve">servizi</t>
  </si>
  <si>
    <t xml:space="preserve">leasing</t>
  </si>
  <si>
    <t xml:space="preserve">altri acquisti</t>
  </si>
  <si>
    <t xml:space="preserve">Mangimi e Foraggi</t>
  </si>
  <si>
    <t xml:space="preserve">Carburanti</t>
  </si>
  <si>
    <t xml:space="preserve">Sementi</t>
  </si>
  <si>
    <t xml:space="preserve">Energia elettrica</t>
  </si>
  <si>
    <t xml:space="preserve">Manutenzioni</t>
  </si>
  <si>
    <t xml:space="preserve">Lavorazioni c/terzi</t>
  </si>
  <si>
    <t xml:space="preserve">Altri</t>
  </si>
  <si>
    <t xml:space="preserve">Affitti</t>
  </si>
  <si>
    <t xml:space="preserve">Personale</t>
  </si>
  <si>
    <t xml:space="preserve">Salari lordi dip.</t>
  </si>
  <si>
    <t xml:space="preserve">Prelievi titolare</t>
  </si>
  <si>
    <t xml:space="preserve">Contributi prev.</t>
  </si>
  <si>
    <t xml:space="preserve">Assicurazioni</t>
  </si>
  <si>
    <t xml:space="preserve">Taglie acqua irrigua</t>
  </si>
  <si>
    <t xml:space="preserve">Oneri diversi di gestione</t>
  </si>
  <si>
    <t xml:space="preserve">Totale uscite</t>
  </si>
  <si>
    <t xml:space="preserve">M A R G I N E   O P E R A T I V O   L O R D O   S T I M A T O
e sostenibilità del debito bancario</t>
  </si>
  <si>
    <t xml:space="preserve">M.O.L stimato</t>
  </si>
  <si>
    <t xml:space="preserve">S T I M A   D E L L A   S O S T E N I B I L I T A'   D E L   D E B I T O</t>
  </si>
  <si>
    <t xml:space="preserve">Onere bancario:</t>
  </si>
  <si>
    <t xml:space="preserve">Rate mutui ipot.</t>
  </si>
  <si>
    <t xml:space="preserve">Rate mutui chir.</t>
  </si>
  <si>
    <t xml:space="preserve">Rimborso fidi a BT</t>
  </si>
  <si>
    <t xml:space="preserve">Finanziamento nuovo</t>
  </si>
  <si>
    <t xml:space="preserve">Linee a revoca (20%)</t>
  </si>
  <si>
    <t xml:space="preserve">I passivi altri fidi</t>
  </si>
  <si>
    <t xml:space="preserve">Totale onere bancario:</t>
  </si>
  <si>
    <t xml:space="preserve">D.S.C.R. stimato =</t>
  </si>
  <si>
    <t xml:space="preserve">I N D I C I   &amp;   G R A F I C I</t>
  </si>
  <si>
    <t xml:space="preserve">ENTRATE di pareggio</t>
  </si>
  <si>
    <t xml:space="preserve">CF</t>
  </si>
  <si>
    <t xml:space="preserve">cf/((ricavi-cv)/ricavi)</t>
  </si>
  <si>
    <t xml:space="preserve">CV</t>
  </si>
  <si>
    <t xml:space="preserve">Margine di sicurezza</t>
  </si>
  <si>
    <t xml:space="preserve">Grado di leva operativa</t>
  </si>
  <si>
    <t xml:space="preserve">Evoluzione stimata del MOL e della sostenibilità del debito</t>
  </si>
  <si>
    <t xml:space="preserve">MOL %</t>
  </si>
  <si>
    <t xml:space="preserve">Dscr</t>
  </si>
  <si>
    <t xml:space="preserve">MOL%</t>
  </si>
  <si>
    <t xml:space="preserve">SCENARIO BEST</t>
  </si>
  <si>
    <t xml:space="preserve">ipotesi aumento volumi:</t>
  </si>
  <si>
    <t xml:space="preserve">+</t>
  </si>
  <si>
    <t xml:space="preserve">SCENARIO WROST</t>
  </si>
  <si>
    <t xml:space="preserve">ipotesi diminuzione volumi:</t>
  </si>
  <si>
    <t xml:space="preserve">-</t>
  </si>
  <si>
    <t xml:space="preserve">MOL stimato</t>
  </si>
  <si>
    <t xml:space="preserve">MOL best</t>
  </si>
  <si>
    <t xml:space="preserve">MOL wrost</t>
  </si>
  <si>
    <t xml:space="preserve">DSCR stimato</t>
  </si>
  <si>
    <t xml:space="preserve">DSCR best</t>
  </si>
  <si>
    <t xml:space="preserve">DSCR wrost</t>
  </si>
  <si>
    <t xml:space="preserve">Ufficio Analisi</t>
  </si>
  <si>
    <t xml:space="preserve">Brescia, li</t>
  </si>
  <si>
    <t xml:space="preserve">Note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</si>
</sst>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0%"/>
    <numFmt numFmtId="167" formatCode="0.0%"/>
    <numFmt numFmtId="168" formatCode="#,##0&quot; €&quot;;[RED]\-#,##0&quot; €&quot;"/>
    <numFmt numFmtId="169" formatCode="#,##0.00\ _€;[RED]\-#,##0.00\ _€"/>
    <numFmt numFmtId="170" formatCode="0.00"/>
    <numFmt numFmtId="171" formatCode="m/d/yyyy"/>
    <numFmt numFmtId="172" formatCode="#,##0.00\ _€"/>
    <numFmt numFmtId="173" formatCode="0"/>
    <numFmt numFmtId="174" formatCode="0.00%"/>
    <numFmt numFmtId="175" formatCode="0.00_ ;[RED]\-0.00\ "/>
    <numFmt numFmtId="176" formatCode="&quot;€ &quot;#,##0.00;[RED]&quot;-€ &quot;#,##0.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Century Gothic"/>
      <family val="2"/>
      <charset val="1"/>
    </font>
    <font>
      <b val="true"/>
      <sz val="9"/>
      <color theme="1"/>
      <name val="Century Gothic"/>
      <family val="2"/>
      <charset val="1"/>
    </font>
    <font>
      <b val="true"/>
      <sz val="9"/>
      <color theme="0"/>
      <name val="Century Gothic"/>
      <family val="2"/>
      <charset val="1"/>
    </font>
    <font>
      <sz val="9"/>
      <color theme="0"/>
      <name val="Century Gothic"/>
      <family val="2"/>
      <charset val="1"/>
    </font>
    <font>
      <sz val="9"/>
      <color rgb="FF284472"/>
      <name val="Century Gothic"/>
      <family val="2"/>
      <charset val="1"/>
    </font>
    <font>
      <b val="true"/>
      <sz val="9"/>
      <name val="Century Gothic"/>
      <family val="2"/>
      <charset val="1"/>
    </font>
    <font>
      <sz val="9"/>
      <color theme="6" tint="-0.5"/>
      <name val="Century Gothic"/>
      <family val="2"/>
      <charset val="1"/>
    </font>
    <font>
      <sz val="9"/>
      <name val="Century Gothic"/>
      <family val="2"/>
      <charset val="1"/>
    </font>
    <font>
      <b val="true"/>
      <sz val="9"/>
      <color theme="1" tint="0.4999"/>
      <name val="Century Gothic"/>
      <family val="2"/>
      <charset val="1"/>
    </font>
    <font>
      <sz val="9"/>
      <color theme="1" tint="0.4999"/>
      <name val="Century Gothic"/>
      <family val="2"/>
      <charset val="1"/>
    </font>
    <font>
      <b val="true"/>
      <sz val="9"/>
      <color rgb="FF284472"/>
      <name val="Century Gothic"/>
      <family val="2"/>
      <charset val="1"/>
    </font>
    <font>
      <b val="true"/>
      <sz val="9"/>
      <color theme="6" tint="-0.5"/>
      <name val="Century Gothic"/>
      <family val="2"/>
      <charset val="1"/>
    </font>
    <font>
      <b val="true"/>
      <sz val="9"/>
      <color theme="5" tint="-0.25"/>
      <name val="Century Gothic"/>
      <family val="2"/>
      <charset val="1"/>
    </font>
    <font>
      <sz val="9"/>
      <color theme="5" tint="-0.25"/>
      <name val="Century Gothic"/>
      <family val="2"/>
      <charset val="1"/>
    </font>
    <font>
      <sz val="9"/>
      <color theme="0" tint="-0.15"/>
      <name val="Century Gothic"/>
      <family val="2"/>
      <charset val="1"/>
    </font>
    <font>
      <b val="true"/>
      <sz val="9"/>
      <color theme="4" tint="-0.25"/>
      <name val="Century Gothic"/>
      <family val="2"/>
      <charset val="1"/>
    </font>
    <font>
      <b val="true"/>
      <sz val="9"/>
      <color theme="3"/>
      <name val="Century Gothic"/>
      <family val="2"/>
      <charset val="1"/>
    </font>
    <font>
      <sz val="9"/>
      <color theme="1" tint="0.3499"/>
      <name val="Century Gothic"/>
      <family val="2"/>
      <charset val="1"/>
    </font>
    <font>
      <b val="true"/>
      <sz val="9"/>
      <color theme="9" tint="-0.5"/>
      <name val="Century Gothic"/>
      <family val="2"/>
      <charset val="1"/>
    </font>
    <font>
      <b val="true"/>
      <sz val="9"/>
      <color rgb="FF009E47"/>
      <name val="Century Gothic"/>
      <family val="2"/>
      <charset val="1"/>
    </font>
    <font>
      <b val="true"/>
      <sz val="9"/>
      <color rgb="FF00B050"/>
      <name val="Century Gothic"/>
      <family val="2"/>
      <charset val="1"/>
    </font>
    <font>
      <b val="true"/>
      <sz val="9"/>
      <color rgb="FF008000"/>
      <name val="Century Gothic"/>
      <family val="2"/>
      <charset val="1"/>
    </font>
    <font>
      <b val="true"/>
      <sz val="9"/>
      <color rgb="FFC00000"/>
      <name val="Century Gothic"/>
      <family val="2"/>
      <charset val="1"/>
    </font>
    <font>
      <b val="true"/>
      <sz val="14"/>
      <color rgb="FF808080"/>
      <name val="Arial"/>
      <family val="2"/>
    </font>
    <font>
      <sz val="9"/>
      <color rgb="FF595959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1505C"/>
        <bgColor rgb="FF1F497D"/>
      </patternFill>
    </fill>
    <fill>
      <patternFill patternType="solid">
        <fgColor rgb="FFFCEAAA"/>
        <bgColor rgb="FFF1E7A1"/>
      </patternFill>
    </fill>
    <fill>
      <patternFill patternType="solid">
        <fgColor theme="0" tint="-0.15"/>
        <bgColor rgb="FFDCE6F2"/>
      </patternFill>
    </fill>
    <fill>
      <patternFill patternType="solid">
        <fgColor theme="2"/>
        <bgColor rgb="FFDCE6F2"/>
      </patternFill>
    </fill>
    <fill>
      <patternFill patternType="solid">
        <fgColor rgb="FFF1E7A1"/>
        <bgColor rgb="FFEEE1A8"/>
      </patternFill>
    </fill>
    <fill>
      <patternFill patternType="solid">
        <fgColor rgb="FFEEE1A8"/>
        <bgColor rgb="FFF1E7A1"/>
      </patternFill>
    </fill>
  </fills>
  <borders count="36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hair"/>
      <top style="thin"/>
      <bottom style="thin"/>
      <diagonal/>
    </border>
    <border diagonalUp="false" diagonalDown="false">
      <left style="hair"/>
      <right/>
      <top style="thin"/>
      <bottom style="thin"/>
      <diagonal/>
    </border>
    <border diagonalUp="false" diagonalDown="false">
      <left style="hair"/>
      <right/>
      <top style="thin"/>
      <bottom/>
      <diagonal/>
    </border>
    <border diagonalUp="false" diagonalDown="false">
      <left/>
      <right style="hair"/>
      <top/>
      <bottom style="thin"/>
      <diagonal/>
    </border>
    <border diagonalUp="false" diagonalDown="false">
      <left/>
      <right/>
      <top style="thin"/>
      <bottom style="hair"/>
      <diagonal/>
    </border>
    <border diagonalUp="false" diagonalDown="false">
      <left/>
      <right style="hair"/>
      <top style="thin"/>
      <bottom style="hair"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dashDotDot">
        <color theme="4"/>
      </left>
      <right/>
      <top style="dashDotDot">
        <color theme="4"/>
      </top>
      <bottom/>
      <diagonal/>
    </border>
    <border diagonalUp="false" diagonalDown="false">
      <left/>
      <right/>
      <top style="dashDotDot">
        <color theme="4"/>
      </top>
      <bottom/>
      <diagonal/>
    </border>
    <border diagonalUp="false" diagonalDown="false">
      <left/>
      <right style="dashDotDot">
        <color theme="4"/>
      </right>
      <top style="dashDotDot">
        <color theme="4"/>
      </top>
      <bottom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 style="dashDotDot">
        <color theme="4"/>
      </left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dashDotDot">
        <color theme="4"/>
      </right>
      <top/>
      <bottom style="thin"/>
      <diagonal/>
    </border>
    <border diagonalUp="false" diagonalDown="false">
      <left style="hair"/>
      <right/>
      <top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dashDotDot">
        <color theme="4"/>
      </right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dashDotDot">
        <color theme="4"/>
      </left>
      <right/>
      <top/>
      <bottom style="dashDotDot">
        <color theme="4"/>
      </bottom>
      <diagonal/>
    </border>
    <border diagonalUp="false" diagonalDown="false">
      <left/>
      <right/>
      <top/>
      <bottom style="dashDotDot">
        <color theme="4"/>
      </bottom>
      <diagonal/>
    </border>
    <border diagonalUp="false" diagonalDown="false">
      <left/>
      <right style="dashDotDot">
        <color theme="4"/>
      </right>
      <top/>
      <bottom style="dashDotDot">
        <color theme="4"/>
      </bottom>
      <diagonal/>
    </border>
    <border diagonalUp="false" diagonalDown="false">
      <left/>
      <right style="hair"/>
      <top style="thin"/>
      <bottom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 style="hair"/>
      <bottom style="thin"/>
      <diagonal/>
    </border>
    <border diagonalUp="false" diagonalDown="false">
      <left style="hair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true"/>
    </xf>
    <xf numFmtId="165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tru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6" fillId="2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5" fillId="3" borderId="3" xfId="0" applyFont="true" applyBorder="true" applyAlignment="true" applyProtection="true">
      <alignment horizontal="center" vertical="bottom" textRotation="0" wrapText="false" indent="0" shrinkToFit="false"/>
      <protection locked="false" hidden="true"/>
    </xf>
    <xf numFmtId="164" fontId="4" fillId="3" borderId="3" xfId="0" applyFont="true" applyBorder="true" applyAlignment="true" applyProtection="true">
      <alignment horizontal="center" vertical="bottom" textRotation="0" wrapText="false" indent="0" shrinkToFit="false"/>
      <protection locked="false" hidden="true"/>
    </xf>
    <xf numFmtId="165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5" fillId="3" borderId="1" xfId="0" applyFont="true" applyBorder="true" applyAlignment="true" applyProtection="true">
      <alignment horizontal="center" vertical="bottom" textRotation="0" wrapText="false" indent="0" shrinkToFit="false"/>
      <protection locked="false" hidden="true"/>
    </xf>
    <xf numFmtId="164" fontId="4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5" fillId="4" borderId="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3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9" fillId="0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9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4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7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4" fillId="4" borderId="6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7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8" xfId="19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4" fillId="3" borderId="10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6" fontId="4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6" fontId="11" fillId="0" borderId="8" xfId="19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2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11" fillId="3" borderId="14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7" fontId="11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11" fillId="4" borderId="16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7" fontId="11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6" fontId="11" fillId="0" borderId="14" xfId="19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11" fillId="3" borderId="16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6" fontId="11" fillId="0" borderId="17" xfId="19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0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1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12" fillId="0" borderId="1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2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11" fillId="3" borderId="17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7" fontId="11" fillId="0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11" fillId="4" borderId="21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13" fillId="0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8" fontId="13" fillId="0" borderId="2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8" fontId="13" fillId="0" borderId="2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8" fontId="13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13" fillId="0" borderId="2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8" fontId="4" fillId="0" borderId="2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8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13" fillId="0" borderId="19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8" fontId="13" fillId="0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8" fontId="13" fillId="0" borderId="2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0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5" fontId="11" fillId="3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7" fontId="11" fillId="0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11" fillId="4" borderId="25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7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6" fontId="11" fillId="0" borderId="2" xfId="19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11" fillId="3" borderId="25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4" fontId="12" fillId="0" borderId="18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12" fillId="0" borderId="2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8" fontId="1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12" fillId="0" borderId="2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26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5" fontId="14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4" fillId="4" borderId="2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14" fillId="3" borderId="2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7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0" borderId="2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2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3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9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11" fillId="3" borderId="6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7" fontId="11" fillId="0" borderId="31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7" fontId="11" fillId="0" borderId="1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5" fontId="11" fillId="4" borderId="6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6" fontId="11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4" fontId="11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3" borderId="27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7" fontId="11" fillId="0" borderId="26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7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11" fillId="4" borderId="27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6" fontId="11" fillId="0" borderId="0" xfId="19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0" borderId="1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1" fillId="0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11" fillId="3" borderId="21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7" fontId="11" fillId="0" borderId="32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7" fontId="11" fillId="0" borderId="1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5" fontId="11" fillId="4" borderId="21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1" fillId="3" borderId="17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7" fontId="11" fillId="0" borderId="2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9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6" fillId="0" borderId="26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5" fontId="11" fillId="3" borderId="0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7" fontId="1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4" borderId="3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5" fontId="11" fillId="3" borderId="3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2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11" fillId="3" borderId="0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6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64" fontId="11" fillId="0" borderId="3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11" fillId="3" borderId="14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7" fontId="11" fillId="0" borderId="1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5" fontId="11" fillId="4" borderId="16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6" fontId="11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19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11" fillId="3" borderId="2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11" fillId="4" borderId="34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6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11" fillId="3" borderId="34" xfId="0" applyFont="true" applyBorder="true" applyAlignment="true" applyProtection="true">
      <alignment horizontal="right" vertical="bottom" textRotation="0" wrapText="false" indent="0" shrinkToFit="false"/>
      <protection locked="false" hidden="true"/>
    </xf>
    <xf numFmtId="165" fontId="16" fillId="3" borderId="0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16" fillId="4" borderId="2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16" fillId="3" borderId="2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5" fillId="0" borderId="2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5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5" fontId="4" fillId="3" borderId="0" xfId="0" applyFont="true" applyBorder="false" applyAlignment="true" applyProtection="true">
      <alignment horizontal="center" vertical="center" textRotation="0" wrapText="false" indent="0" shrinkToFit="false"/>
      <protection locked="false" hidden="tru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true"/>
    </xf>
    <xf numFmtId="165" fontId="4" fillId="4" borderId="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5" fontId="11" fillId="4" borderId="1" xfId="0" applyFont="true" applyBorder="true" applyAlignment="true" applyProtection="true">
      <alignment horizontal="center" vertical="bottom" textRotation="0" wrapText="false" indent="0" shrinkToFit="false"/>
      <protection locked="false" hidden="true"/>
    </xf>
    <xf numFmtId="165" fontId="4" fillId="3" borderId="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5" fontId="4" fillId="4" borderId="1" xfId="0" applyFont="true" applyBorder="true" applyAlignment="true" applyProtection="true">
      <alignment horizontal="center" vertical="bottom" textRotation="0" wrapText="false" indent="0" shrinkToFit="false"/>
      <protection locked="false" hidden="true"/>
    </xf>
    <xf numFmtId="169" fontId="4" fillId="3" borderId="0" xfId="0" applyFont="true" applyBorder="false" applyAlignment="true" applyProtection="true">
      <alignment horizontal="center" vertical="center" textRotation="0" wrapText="false" indent="0" shrinkToFit="false"/>
      <protection locked="false" hidden="tru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true"/>
    </xf>
    <xf numFmtId="164" fontId="20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19" fillId="3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true"/>
    </xf>
    <xf numFmtId="165" fontId="19" fillId="4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11" fillId="4" borderId="0" xfId="0" applyFont="true" applyBorder="false" applyAlignment="true" applyProtection="true">
      <alignment horizontal="center" vertical="bottom" textRotation="0" wrapText="false" indent="0" shrinkToFit="false"/>
      <protection locked="false" hidden="true"/>
    </xf>
    <xf numFmtId="165" fontId="4" fillId="4" borderId="0" xfId="0" applyFont="true" applyBorder="false" applyAlignment="true" applyProtection="true">
      <alignment horizontal="center" vertical="bottom" textRotation="0" wrapText="false" indent="0" shrinkToFit="false"/>
      <protection locked="false" hidden="true"/>
    </xf>
    <xf numFmtId="165" fontId="4" fillId="4" borderId="27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5" fontId="4" fillId="3" borderId="27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false" hidden="true"/>
    </xf>
    <xf numFmtId="165" fontId="11" fillId="4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4" fillId="3" borderId="2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5" fontId="4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true"/>
    </xf>
    <xf numFmtId="165" fontId="4" fillId="4" borderId="25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5" fontId="11" fillId="4" borderId="2" xfId="0" applyFont="true" applyBorder="true" applyAlignment="true" applyProtection="true">
      <alignment horizontal="center" vertical="bottom" textRotation="0" wrapText="false" indent="0" shrinkToFit="false"/>
      <protection locked="false" hidden="true"/>
    </xf>
    <xf numFmtId="165" fontId="4" fillId="3" borderId="25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5" fontId="4" fillId="4" borderId="2" xfId="0" applyFont="true" applyBorder="true" applyAlignment="true" applyProtection="true">
      <alignment horizontal="center" vertical="bottom" textRotation="0" wrapText="false" indent="0" shrinkToFit="false"/>
      <protection locked="false" hidden="true"/>
    </xf>
    <xf numFmtId="169" fontId="4" fillId="3" borderId="2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5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21" fillId="3" borderId="0" xfId="0" applyFont="true" applyBorder="false" applyAlignment="true" applyProtection="true">
      <alignment horizontal="center" vertical="center" textRotation="0" wrapText="false" indent="0" shrinkToFit="false"/>
      <protection locked="false" hidden="true"/>
    </xf>
    <xf numFmtId="167" fontId="2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5" fillId="4" borderId="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7" fontId="21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5" fillId="4" borderId="27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7" fontId="2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5" fillId="3" borderId="6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4" fillId="3" borderId="0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70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4" borderId="0" xfId="0" applyFont="true" applyBorder="false" applyAlignment="true" applyProtection="true">
      <alignment horizontal="center" vertical="bottom" textRotation="0" wrapText="false" indent="0" shrinkToFit="false"/>
      <protection locked="false" hidden="tru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5" fontId="5" fillId="3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5" fillId="4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7" fontId="21" fillId="4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0" borderId="2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5" fillId="6" borderId="3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9" fontId="4" fillId="6" borderId="3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5" fillId="0" borderId="2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5" fontId="5" fillId="4" borderId="2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5" fillId="4" borderId="2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5" fillId="6" borderId="2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5" fillId="6" borderId="2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5" fillId="4" borderId="2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1" fontId="5" fillId="7" borderId="2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5" fillId="6" borderId="1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4" fillId="6" borderId="0" xfId="0" applyFont="true" applyBorder="false" applyAlignment="true" applyProtection="true">
      <alignment horizontal="center" vertical="center" textRotation="0" wrapText="false" indent="0" shrinkToFit="false"/>
      <protection locked="false" hidden="true"/>
    </xf>
    <xf numFmtId="165" fontId="5" fillId="4" borderId="2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72" fontId="5" fillId="6" borderId="2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72" fontId="5" fillId="4" borderId="2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22" fillId="3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22" fillId="4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22" fillId="3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7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7" fontId="4" fillId="6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5" fillId="6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4" fillId="6" borderId="2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4" fillId="4" borderId="2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3" fontId="4" fillId="6" borderId="2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5" fontId="4" fillId="6" borderId="2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4" fillId="4" borderId="2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5" fillId="6" borderId="2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4" fillId="6" borderId="2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5" fillId="6" borderId="2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4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6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5" fillId="6" borderId="2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5" fillId="4" borderId="2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5" fillId="6" borderId="1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5" fontId="5" fillId="4" borderId="6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5" fillId="4" borderId="1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5" fillId="6" borderId="6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5" fillId="6" borderId="1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5" fillId="4" borderId="6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1" fontId="5" fillId="6" borderId="6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6" borderId="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5" fillId="4" borderId="25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4" fontId="5" fillId="6" borderId="25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4" fontId="5" fillId="4" borderId="25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5" fillId="6" borderId="25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5" fillId="4" borderId="25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25" fillId="0" borderId="0" xfId="0" applyFont="true" applyBorder="false" applyAlignment="true" applyProtection="true">
      <alignment horizontal="right" vertical="center" textRotation="0" wrapText="true" indent="0" shrinkToFit="false"/>
      <protection locked="true" hidden="true"/>
    </xf>
    <xf numFmtId="166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5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73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73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75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73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75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4" fillId="6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5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4" fillId="0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5" fillId="6" borderId="6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26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5" fillId="6" borderId="2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5" fontId="5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6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5" fontId="4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5" fontId="4" fillId="4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6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right" vertical="center" textRotation="0" wrapText="true" indent="0" shrinkToFit="false"/>
      <protection locked="true" hidden="true"/>
    </xf>
    <xf numFmtId="166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70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6" fillId="0" borderId="0" xfId="19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7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19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2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4" fillId="6" borderId="0" xfId="19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6" borderId="0" xfId="19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5" fontId="4" fillId="4" borderId="27" xfId="19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4" borderId="0" xfId="19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5" fontId="4" fillId="0" borderId="0" xfId="19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19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5" fillId="0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2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7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5" fillId="0" borderId="1" xfId="0" applyFont="true" applyBorder="true" applyAlignment="true" applyProtection="true">
      <alignment horizontal="general" vertical="top" textRotation="0" wrapText="true" indent="0" shrinkToFit="false"/>
      <protection locked="true" hidden="tru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1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4F6228"/>
      <rgbColor rgb="FF800080"/>
      <rgbColor rgb="FF009E47"/>
      <rgbColor rgb="FFBFBFBF"/>
      <rgbColor rgb="FF808080"/>
      <rgbColor rgb="FF9999FF"/>
      <rgbColor rgb="FF953735"/>
      <rgbColor rgb="FFEEECE1"/>
      <rgbColor rgb="FFDCE6F2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376092"/>
      <rgbColor rgb="FF0000FF"/>
      <rgbColor rgb="FF00CCFF"/>
      <rgbColor rgb="FFCCFFFF"/>
      <rgbColor rgb="FFF1E7A1"/>
      <rgbColor rgb="FFFCEAAA"/>
      <rgbColor rgb="FF99CCFF"/>
      <rgbColor rgb="FFFF99CC"/>
      <rgbColor rgb="FFCC99FF"/>
      <rgbColor rgb="FFEEE1A8"/>
      <rgbColor rgb="FF4F81BD"/>
      <rgbColor rgb="FF33CCCC"/>
      <rgbColor rgb="FF99CC00"/>
      <rgbColor rgb="FFFFCC00"/>
      <rgbColor rgb="FFFF9900"/>
      <rgbColor rgb="FFFF6600"/>
      <rgbColor rgb="FF595959"/>
      <rgbColor rgb="FF7F7F7F"/>
      <rgbColor rgb="FF01505C"/>
      <rgbColor rgb="FF00B050"/>
      <rgbColor rgb="FF003300"/>
      <rgbColor rgb="FF333300"/>
      <rgbColor rgb="FF984807"/>
      <rgbColor rgb="FF993366"/>
      <rgbColor rgb="FF284472"/>
      <rgbColor rgb="FF1F497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pc="150" strike="noStrike">
                <a:solidFill>
                  <a:schemeClr val="tx1">
                    <a:lumMod val="50000"/>
                    <a:lumOff val="50000"/>
                  </a:schemeClr>
                </a:solidFill>
                <a:uFillTx/>
                <a:latin typeface="Arial"/>
              </a:rPr>
              <a:t>ANDAMENTO DEL mol</a:t>
            </a:r>
          </a:p>
        </c:rich>
      </c:tx>
      <c:layout>
        <c:manualLayout>
          <c:xMode val="edge"/>
          <c:yMode val="edge"/>
          <c:x val="0.268300783844825"/>
          <c:y val="0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991098711305965"/>
          <c:y val="0.209778283115406"/>
          <c:w val="0.873588415039192"/>
          <c:h val="0.706992609437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Studio!$C$93</c:f>
              <c:strCache>
                <c:ptCount val="1"/>
                <c:pt idx="0">
                  <c:v/>
                </c:pt>
              </c:strCache>
            </c:strRef>
          </c:tx>
          <c:spPr>
            <a:pattFill prst="ltHorz">
              <a:fgClr>
                <a:srgbClr val="4F81BD"/>
              </a:fgClr>
              <a:bgClr>
                <a:srgbClr val="DCE6F2"/>
              </a:bgClr>
            </a:patt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Studio!$D$92:$I$92</c:f>
              <c:strCache>
                <c:ptCount val="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</c:strCache>
            </c:strRef>
          </c:cat>
          <c:val>
            <c:numRef>
              <c:f>Studio!$D$93:$I$93</c:f>
              <c:numCache>
                <c:formatCode>General</c:formatCode>
                <c:ptCount val="5"/>
              </c:numCache>
            </c:numRef>
          </c:val>
        </c:ser>
        <c:ser>
          <c:idx val="1"/>
          <c:order val="1"/>
          <c:tx>
            <c:strRef>
              <c:f>Studio!$C$94</c:f>
              <c:strCache>
                <c:ptCount val="1"/>
                <c:pt idx="0">
                  <c:v>20%</c:v>
                </c:pt>
              </c:strCache>
            </c:strRef>
          </c:tx>
          <c:spPr>
            <a:pattFill prst="ltHorz">
              <a:fgClr>
                <a:srgbClr val="008000"/>
              </a:fgClr>
              <a:bgClr>
                <a:srgbClr val="FFFFFF"/>
              </a:bgClr>
            </a:pattFill>
            <a:ln w="12600">
              <a:solidFill>
                <a:srgbClr val="008000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8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Studio!$D$92:$I$92</c:f>
              <c:strCache>
                <c:ptCount val="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</c:strCache>
            </c:strRef>
          </c:cat>
          <c:val>
            <c:numRef>
              <c:f>Studio!$D$94:$I$94</c:f>
              <c:numCache>
                <c:formatCode>#,##0</c:formatCode>
                <c:ptCount val="5"/>
              </c:numCache>
            </c:numRef>
          </c:val>
        </c:ser>
        <c:ser>
          <c:idx val="2"/>
          <c:order val="2"/>
          <c:tx>
            <c:strRef>
              <c:f>Studio!$C$95</c:f>
              <c:strCache>
                <c:ptCount val="1"/>
                <c:pt idx="0">
                  <c:v>20%</c:v>
                </c:pt>
              </c:strCache>
            </c:strRef>
          </c:tx>
          <c:spPr>
            <a:pattFill prst="ltHorz">
              <a:fgClr>
                <a:srgbClr val="C00000"/>
              </a:fgClr>
              <a:bgClr>
                <a:srgbClr val="FFFFFF"/>
              </a:bgClr>
            </a:pattFill>
            <a:ln w="12600">
              <a:solidFill>
                <a:srgbClr val="C00000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C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Studio!$D$92:$I$92</c:f>
              <c:strCache>
                <c:ptCount val="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</c:strCache>
            </c:strRef>
          </c:cat>
          <c:val>
            <c:numRef>
              <c:f>Studio!$D$95:$I$95</c:f>
              <c:numCache>
                <c:formatCode>#,##0</c:formatCode>
                <c:ptCount val="5"/>
              </c:numCache>
            </c:numRef>
          </c:val>
        </c:ser>
        <c:gapWidth val="164"/>
        <c:overlap val="-22"/>
        <c:axId val="49132622"/>
        <c:axId val="86890098"/>
      </c:barChart>
      <c:catAx>
        <c:axId val="491326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9080">
            <a:solidFill>
              <a:schemeClr val="dk1">
                <a:lumMod val="25000"/>
                <a:lumOff val="7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86890098"/>
        <c:crosses val="autoZero"/>
        <c:auto val="1"/>
        <c:lblAlgn val="ctr"/>
        <c:lblOffset val="100"/>
        <c:noMultiLvlLbl val="0"/>
      </c:catAx>
      <c:valAx>
        <c:axId val="86890098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491326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layout>
        <c:manualLayout>
          <c:xMode val="edge"/>
          <c:yMode val="edge"/>
          <c:x val="0.298535651793526"/>
          <c:y val="0.115625182268883"/>
          <c:w val="0.453853830638077"/>
          <c:h val="0.0658327171838585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chemeClr val="tx1">
                    <a:lumMod val="50000"/>
                    <a:lumOff val="50000"/>
                  </a:schemeClr>
                </a:solidFill>
                <a:uFillTx/>
                <a:latin typeface="Arial"/>
              </a:rPr>
              <a:t>ANDAMENTO DEL DSCR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908975012748598"/>
          <c:y val="0.265463625014187"/>
          <c:w val="0.879207037225905"/>
          <c:h val="0.6562251730791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Studio!$C$97</c:f>
              <c:strCache>
                <c:ptCount val="1"/>
                <c:pt idx="0">
                  <c:v/>
                </c:pt>
              </c:strCache>
            </c:strRef>
          </c:tx>
          <c:spPr>
            <a:pattFill prst="ltHorz">
              <a:fgClr>
                <a:srgbClr val="0070C0"/>
              </a:fgClr>
              <a:bgClr>
                <a:srgbClr val="FFFFFF"/>
              </a:bgClr>
            </a:pattFill>
            <a:ln w="12600">
              <a:solidFill>
                <a:srgbClr val="0070C0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70C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Studio!$D$92:$I$92</c:f>
              <c:strCache>
                <c:ptCount val="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</c:strCache>
            </c:strRef>
          </c:cat>
          <c:val>
            <c:numRef>
              <c:f>Studio!$D$97:$I$97</c:f>
              <c:numCache>
                <c:formatCode>General</c:formatCode>
                <c:ptCount val="5"/>
              </c:numCache>
            </c:numRef>
          </c:val>
        </c:ser>
        <c:ser>
          <c:idx val="1"/>
          <c:order val="1"/>
          <c:tx>
            <c:strRef>
              <c:f>Studio!$C$98</c:f>
              <c:strCache>
                <c:ptCount val="1"/>
                <c:pt idx="0">
                  <c:v/>
                </c:pt>
              </c:strCache>
            </c:strRef>
          </c:tx>
          <c:spPr>
            <a:pattFill prst="ltHorz">
              <a:fgClr>
                <a:srgbClr val="008000"/>
              </a:fgClr>
              <a:bgClr>
                <a:srgbClr val="FFFFFF"/>
              </a:bgClr>
            </a:pattFill>
            <a:ln w="12600">
              <a:solidFill>
                <a:srgbClr val="008000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8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Studio!$D$92:$I$92</c:f>
              <c:strCache>
                <c:ptCount val="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</c:strCache>
            </c:strRef>
          </c:cat>
          <c:val>
            <c:numRef>
              <c:f>Studio!$D$98:$I$98</c:f>
              <c:numCache>
                <c:formatCode>General</c:formatCode>
                <c:ptCount val="5"/>
              </c:numCache>
            </c:numRef>
          </c:val>
        </c:ser>
        <c:ser>
          <c:idx val="2"/>
          <c:order val="2"/>
          <c:tx>
            <c:strRef>
              <c:f>Studio!$C$99</c:f>
              <c:strCache>
                <c:ptCount val="1"/>
                <c:pt idx="0">
                  <c:v/>
                </c:pt>
              </c:strCache>
            </c:strRef>
          </c:tx>
          <c:spPr>
            <a:pattFill prst="ltHorz">
              <a:fgClr>
                <a:srgbClr val="C00000"/>
              </a:fgClr>
              <a:bgClr>
                <a:srgbClr val="FFFFFF"/>
              </a:bgClr>
            </a:pattFill>
            <a:ln w="12600">
              <a:solidFill>
                <a:srgbClr val="C00000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C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Studio!$D$92:$I$92</c:f>
              <c:strCache>
                <c:ptCount val="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</c:strCache>
            </c:strRef>
          </c:cat>
          <c:val>
            <c:numRef>
              <c:f>Studio!$D$99:$I$99</c:f>
              <c:numCache>
                <c:formatCode>#,##0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val>
        </c:ser>
        <c:gapWidth val="219"/>
        <c:overlap val="-27"/>
        <c:axId val="44979889"/>
        <c:axId val="21616225"/>
      </c:barChart>
      <c:catAx>
        <c:axId val="449798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21616225"/>
        <c:crosses val="autoZero"/>
        <c:auto val="1"/>
        <c:lblAlgn val="ctr"/>
        <c:lblOffset val="100"/>
        <c:noMultiLvlLbl val="0"/>
      </c:catAx>
      <c:valAx>
        <c:axId val="2161622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4497988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layout>
        <c:manualLayout>
          <c:xMode val="edge"/>
          <c:yMode val="edge"/>
          <c:x val="0.257362178607097"/>
          <c:y val="0.131226597999844"/>
          <c:w val="0.450915974329877"/>
          <c:h val="0.065619336568464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10440</xdr:colOff>
      <xdr:row>90</xdr:row>
      <xdr:rowOff>14760</xdr:rowOff>
    </xdr:from>
    <xdr:to>
      <xdr:col>11</xdr:col>
      <xdr:colOff>84240</xdr:colOff>
      <xdr:row>110</xdr:row>
      <xdr:rowOff>94680</xdr:rowOff>
    </xdr:to>
    <xdr:graphicFrame>
      <xdr:nvGraphicFramePr>
        <xdr:cNvPr id="1" name="Chart 1"/>
        <xdr:cNvGraphicFramePr/>
      </xdr:nvGraphicFramePr>
      <xdr:xfrm>
        <a:off x="272160" y="13168800"/>
        <a:ext cx="5419080" cy="3165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301680</xdr:colOff>
      <xdr:row>89</xdr:row>
      <xdr:rowOff>84240</xdr:rowOff>
    </xdr:from>
    <xdr:to>
      <xdr:col>19</xdr:col>
      <xdr:colOff>543240</xdr:colOff>
      <xdr:row>110</xdr:row>
      <xdr:rowOff>84240</xdr:rowOff>
    </xdr:to>
    <xdr:graphicFrame>
      <xdr:nvGraphicFramePr>
        <xdr:cNvPr id="2" name="Chart 2"/>
        <xdr:cNvGraphicFramePr/>
      </xdr:nvGraphicFramePr>
      <xdr:xfrm>
        <a:off x="5908680" y="13152600"/>
        <a:ext cx="5647320" cy="317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51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18" activeCellId="0" sqref="B18"/>
    </sheetView>
  </sheetViews>
  <sheetFormatPr defaultColWidth="9.1484375" defaultRowHeight="14.25" customHeight="false" zeroHeight="false" outlineLevelRow="0" outlineLevelCol="0"/>
  <cols>
    <col collapsed="false" customWidth="true" hidden="false" outlineLevel="0" max="1" min="1" style="1" width="3.71"/>
    <col collapsed="false" customWidth="true" hidden="false" outlineLevel="0" max="2" min="2" style="1" width="9.42"/>
    <col collapsed="false" customWidth="true" hidden="false" outlineLevel="0" max="3" min="3" style="1" width="16.29"/>
    <col collapsed="false" customWidth="true" hidden="false" outlineLevel="0" max="5" min="4" style="2" width="6.71"/>
    <col collapsed="false" customWidth="true" hidden="false" outlineLevel="0" max="6" min="6" style="1" width="8.71"/>
    <col collapsed="false" customWidth="true" hidden="true" outlineLevel="0" max="7" min="7" style="1" width="7.71"/>
    <col collapsed="false" customWidth="true" hidden="false" outlineLevel="0" max="9" min="8" style="2" width="6.71"/>
    <col collapsed="false" customWidth="true" hidden="false" outlineLevel="0" max="10" min="10" style="1" width="6.85"/>
    <col collapsed="false" customWidth="true" hidden="false" outlineLevel="0" max="11" min="11" style="1" width="7.71"/>
    <col collapsed="false" customWidth="true" hidden="false" outlineLevel="0" max="12" min="12" style="2" width="12.71"/>
    <col collapsed="false" customWidth="true" hidden="false" outlineLevel="0" max="14" min="13" style="1" width="7.71"/>
    <col collapsed="false" customWidth="true" hidden="false" outlineLevel="0" max="15" min="15" style="2" width="12.71"/>
    <col collapsed="false" customWidth="true" hidden="false" outlineLevel="0" max="17" min="16" style="1" width="7.71"/>
    <col collapsed="false" customWidth="true" hidden="false" outlineLevel="0" max="18" min="18" style="2" width="12.71"/>
    <col collapsed="false" customWidth="true" hidden="false" outlineLevel="0" max="20" min="19" style="1" width="7.71"/>
    <col collapsed="false" customWidth="true" hidden="false" outlineLevel="0" max="21" min="21" style="2" width="12.71"/>
    <col collapsed="false" customWidth="true" hidden="false" outlineLevel="0" max="23" min="22" style="1" width="7.71"/>
    <col collapsed="false" customWidth="true" hidden="false" outlineLevel="0" max="24" min="24" style="1" width="8.71"/>
    <col collapsed="false" customWidth="true" hidden="false" outlineLevel="0" max="25" min="25" style="1" width="16.71"/>
    <col collapsed="false" customWidth="true" hidden="false" outlineLevel="0" max="26" min="26" style="1" width="4.42"/>
    <col collapsed="false" customWidth="true" hidden="false" outlineLevel="0" max="27" min="27" style="1" width="10.71"/>
    <col collapsed="false" customWidth="true" hidden="false" outlineLevel="0" max="28" min="28" style="1" width="5.29"/>
    <col collapsed="false" customWidth="true" hidden="false" outlineLevel="0" max="29" min="29" style="1" width="10.71"/>
    <col collapsed="false" customWidth="true" hidden="false" outlineLevel="0" max="30" min="30" style="1" width="5.29"/>
    <col collapsed="false" customWidth="true" hidden="false" outlineLevel="0" max="31" min="31" style="1" width="10.71"/>
    <col collapsed="false" customWidth="true" hidden="false" outlineLevel="0" max="32" min="32" style="1" width="5.29"/>
    <col collapsed="false" customWidth="true" hidden="false" outlineLevel="0" max="33" min="33" style="1" width="10.71"/>
    <col collapsed="false" customWidth="true" hidden="false" outlineLevel="0" max="34" min="34" style="1" width="5.29"/>
    <col collapsed="false" customWidth="false" hidden="false" outlineLevel="0" max="37" min="35" style="1" width="9.14"/>
    <col collapsed="false" customWidth="true" hidden="false" outlineLevel="0" max="38" min="38" style="1" width="14.29"/>
    <col collapsed="false" customWidth="true" hidden="false" outlineLevel="0" max="43" min="39" style="1" width="16.43"/>
    <col collapsed="false" customWidth="false" hidden="false" outlineLevel="0" max="16384" min="44" style="1" width="9.14"/>
  </cols>
  <sheetData>
    <row r="1" customFormat="false" ht="7.5" hidden="false" customHeight="true" outlineLevel="0" collapsed="false">
      <c r="B1" s="3"/>
      <c r="C1" s="3"/>
      <c r="D1" s="4"/>
      <c r="E1" s="4"/>
      <c r="F1" s="3"/>
      <c r="G1" s="3"/>
      <c r="H1" s="4"/>
      <c r="I1" s="4"/>
      <c r="J1" s="3"/>
      <c r="K1" s="3"/>
      <c r="L1" s="4"/>
    </row>
    <row r="2" customFormat="false" ht="15" hidden="false" customHeight="true" outlineLevel="0" collapsed="false">
      <c r="B2" s="5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6"/>
      <c r="V2" s="6"/>
      <c r="W2" s="6"/>
    </row>
    <row r="3" customFormat="false" ht="7.5" hidden="false" customHeight="true" outlineLevel="0" collapsed="false">
      <c r="B3" s="3"/>
      <c r="C3" s="3"/>
      <c r="D3" s="4"/>
      <c r="E3" s="4"/>
      <c r="F3" s="3"/>
      <c r="G3" s="3"/>
      <c r="H3" s="4"/>
      <c r="I3" s="4"/>
      <c r="J3" s="3"/>
      <c r="K3" s="3"/>
      <c r="L3" s="4"/>
    </row>
    <row r="4" customFormat="false" ht="13.5" hidden="false" customHeight="true" outlineLevel="0" collapsed="false">
      <c r="B4" s="7" t="s">
        <v>1</v>
      </c>
      <c r="C4" s="7"/>
      <c r="D4" s="8"/>
      <c r="E4" s="8"/>
      <c r="F4" s="8"/>
      <c r="G4" s="8"/>
      <c r="H4" s="8"/>
      <c r="I4" s="8"/>
      <c r="J4" s="8"/>
      <c r="K4" s="9"/>
      <c r="P4" s="3" t="s">
        <v>2</v>
      </c>
      <c r="Q4" s="3"/>
      <c r="R4" s="10"/>
      <c r="S4" s="9"/>
      <c r="T4" s="9"/>
      <c r="U4" s="10"/>
      <c r="V4" s="9"/>
      <c r="W4" s="9"/>
      <c r="X4" s="9"/>
    </row>
    <row r="5" customFormat="false" ht="6" hidden="false" customHeight="true" outlineLevel="0" collapsed="false">
      <c r="B5" s="11"/>
    </row>
    <row r="6" customFormat="false" ht="13.5" hidden="false" customHeight="true" outlineLevel="0" collapsed="false">
      <c r="B6" s="7" t="s">
        <v>3</v>
      </c>
      <c r="C6" s="7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3"/>
      <c r="U6" s="13"/>
      <c r="V6" s="13"/>
      <c r="W6" s="13"/>
      <c r="X6" s="9"/>
    </row>
    <row r="7" customFormat="false" ht="7.5" hidden="false" customHeight="true" outlineLevel="0" collapsed="false">
      <c r="B7" s="11"/>
      <c r="L7" s="14"/>
    </row>
    <row r="8" customFormat="false" ht="13.5" hidden="false" customHeight="true" outlineLevel="0" collapsed="false">
      <c r="B8" s="7" t="s">
        <v>4</v>
      </c>
      <c r="C8" s="7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13"/>
      <c r="U8" s="13"/>
      <c r="V8" s="13"/>
      <c r="W8" s="13"/>
      <c r="X8" s="9"/>
    </row>
    <row r="9" customFormat="false" ht="7.5" hidden="false" customHeight="true" outlineLevel="0" collapsed="false">
      <c r="B9" s="3"/>
      <c r="C9" s="3"/>
      <c r="D9" s="4"/>
      <c r="E9" s="4"/>
      <c r="F9" s="3"/>
      <c r="G9" s="3"/>
      <c r="H9" s="4"/>
      <c r="I9" s="4"/>
      <c r="J9" s="3"/>
      <c r="K9" s="3"/>
      <c r="L9" s="4"/>
    </row>
    <row r="10" customFormat="false" ht="13.5" hidden="false" customHeight="true" outlineLevel="0" collapsed="false">
      <c r="B10" s="15" t="s">
        <v>5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6"/>
      <c r="U10" s="6"/>
      <c r="V10" s="6"/>
      <c r="W10" s="6"/>
      <c r="X10" s="9"/>
    </row>
    <row r="11" customFormat="false" ht="13.5" hidden="false" customHeight="true" outlineLevel="0" collapsed="false">
      <c r="B11" s="16" t="s">
        <v>6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6"/>
      <c r="U11" s="6"/>
      <c r="V11" s="6"/>
      <c r="W11" s="6"/>
      <c r="X11" s="9"/>
    </row>
    <row r="12" customFormat="false" ht="7.5" hidden="false" customHeight="true" outlineLevel="0" collapsed="false">
      <c r="B12" s="3"/>
      <c r="C12" s="3"/>
      <c r="D12" s="4"/>
      <c r="E12" s="4"/>
      <c r="F12" s="3"/>
      <c r="G12" s="3"/>
      <c r="H12" s="4"/>
      <c r="I12" s="4"/>
      <c r="J12" s="3"/>
      <c r="K12" s="3"/>
      <c r="L12" s="4"/>
    </row>
    <row r="13" customFormat="false" ht="13.5" hidden="false" customHeight="true" outlineLevel="0" collapsed="false">
      <c r="B13" s="17"/>
      <c r="C13" s="18" t="s">
        <v>7</v>
      </c>
      <c r="D13" s="19" t="n">
        <v>2022</v>
      </c>
      <c r="E13" s="19"/>
      <c r="F13" s="19"/>
      <c r="G13" s="20"/>
      <c r="H13" s="21" t="n">
        <f aca="false">I17</f>
        <v>2023</v>
      </c>
      <c r="I13" s="21"/>
      <c r="J13" s="21"/>
      <c r="K13" s="22"/>
      <c r="L13" s="23" t="n">
        <f aca="false">M17</f>
        <v>2024</v>
      </c>
      <c r="M13" s="23"/>
      <c r="N13" s="24"/>
      <c r="O13" s="25" t="n">
        <f aca="false">P17</f>
        <v>2025</v>
      </c>
      <c r="P13" s="25"/>
      <c r="Q13" s="26"/>
      <c r="R13" s="27" t="str">
        <f aca="false">S17</f>
        <v>2026 - previsione</v>
      </c>
      <c r="S13" s="27"/>
      <c r="T13" s="28"/>
      <c r="U13" s="27" t="str">
        <f aca="false">V17</f>
        <v>2027 - previsione</v>
      </c>
      <c r="V13" s="27"/>
      <c r="W13" s="28"/>
      <c r="X13" s="9"/>
    </row>
    <row r="14" customFormat="false" ht="13.5" hidden="false" customHeight="true" outlineLevel="0" collapsed="false">
      <c r="B14" s="17"/>
      <c r="C14" s="29"/>
      <c r="D14" s="30" t="s">
        <v>8</v>
      </c>
      <c r="E14" s="30"/>
      <c r="F14" s="31" t="s">
        <v>9</v>
      </c>
      <c r="G14" s="31"/>
      <c r="H14" s="32" t="s">
        <v>8</v>
      </c>
      <c r="I14" s="32"/>
      <c r="J14" s="31" t="s">
        <v>9</v>
      </c>
      <c r="K14" s="33" t="s">
        <v>10</v>
      </c>
      <c r="L14" s="32" t="s">
        <v>8</v>
      </c>
      <c r="M14" s="31" t="s">
        <v>9</v>
      </c>
      <c r="N14" s="33" t="s">
        <v>10</v>
      </c>
      <c r="O14" s="32" t="s">
        <v>8</v>
      </c>
      <c r="P14" s="31" t="s">
        <v>9</v>
      </c>
      <c r="Q14" s="33" t="s">
        <v>10</v>
      </c>
      <c r="R14" s="32" t="s">
        <v>8</v>
      </c>
      <c r="S14" s="31" t="s">
        <v>9</v>
      </c>
      <c r="T14" s="33" t="s">
        <v>10</v>
      </c>
      <c r="U14" s="32" t="s">
        <v>8</v>
      </c>
      <c r="V14" s="31" t="s">
        <v>9</v>
      </c>
      <c r="W14" s="33" t="s">
        <v>10</v>
      </c>
      <c r="X14" s="9"/>
    </row>
    <row r="15" s="34" customFormat="true" ht="7.5" hidden="false" customHeight="true" outlineLevel="0" collapsed="false">
      <c r="D15" s="35"/>
      <c r="E15" s="35"/>
      <c r="F15" s="34" t="n">
        <f aca="false">YEAR(R131)</f>
        <v>2026</v>
      </c>
      <c r="H15" s="35"/>
      <c r="I15" s="35" t="n">
        <f aca="false">IF(H17&lt;F15,(D13+1)," - previsione")</f>
        <v>2023</v>
      </c>
      <c r="L15" s="36" t="n">
        <f aca="false">IF(L17&lt;F15,(H13+1)," - previsione")</f>
        <v>2024</v>
      </c>
      <c r="O15" s="35" t="n">
        <f aca="false">IF(O17&lt;F15,(L13+1)," - previsione")</f>
        <v>2025</v>
      </c>
      <c r="R15" s="35" t="str">
        <f aca="false">IF(R17&lt;F15,(O13+1)," - previsione")</f>
        <v> - previsione</v>
      </c>
      <c r="U15" s="35" t="str">
        <f aca="false">IF(U17&lt;I15,(R13+1)," - previsione")</f>
        <v> - previsione</v>
      </c>
    </row>
    <row r="16" customFormat="false" ht="13.5" hidden="false" customHeight="true" outlineLevel="0" collapsed="false">
      <c r="B16" s="5" t="s">
        <v>11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6"/>
      <c r="U16" s="6"/>
      <c r="V16" s="6"/>
      <c r="W16" s="6"/>
      <c r="AL16" s="37"/>
    </row>
    <row r="17" s="34" customFormat="true" ht="7.5" hidden="false" customHeight="true" outlineLevel="0" collapsed="false">
      <c r="D17" s="35"/>
      <c r="E17" s="35"/>
      <c r="H17" s="35" t="n">
        <f aca="false">D13+1</f>
        <v>2023</v>
      </c>
      <c r="I17" s="35" t="n">
        <f aca="false">IF((H17=I15),H17,_xlfn.CONCAT(H17,I15))</f>
        <v>2023</v>
      </c>
      <c r="L17" s="35" t="n">
        <f aca="false">H17+1</f>
        <v>2024</v>
      </c>
      <c r="M17" s="35" t="n">
        <f aca="false">IF((L17=L15),L17,_xlfn.CONCAT(L17,L15))</f>
        <v>2024</v>
      </c>
      <c r="O17" s="35" t="n">
        <f aca="false">L17+1</f>
        <v>2025</v>
      </c>
      <c r="P17" s="35" t="n">
        <f aca="false">IF((O17=O15),O17,_xlfn.CONCAT(O17,O15))</f>
        <v>2025</v>
      </c>
      <c r="R17" s="35" t="n">
        <f aca="false">O17+1</f>
        <v>2026</v>
      </c>
      <c r="S17" s="34" t="str">
        <f aca="false">IF((R17=R15),R17,_xlfn.CONCAT(R17,R15))</f>
        <v>2026 - previsione</v>
      </c>
      <c r="U17" s="35" t="n">
        <f aca="false">R17+1</f>
        <v>2027</v>
      </c>
      <c r="V17" s="34" t="str">
        <f aca="false">IF((U17=U15),U17,_xlfn.CONCAT(U17,U15))</f>
        <v>2027 - previsione</v>
      </c>
      <c r="X17" s="3"/>
    </row>
    <row r="18" customFormat="false" ht="13.5" hidden="false" customHeight="true" outlineLevel="0" collapsed="false">
      <c r="B18" s="38" t="s">
        <v>12</v>
      </c>
      <c r="C18" s="39"/>
      <c r="D18" s="40" t="n">
        <v>0</v>
      </c>
      <c r="E18" s="40"/>
      <c r="F18" s="41" t="e">
        <f aca="false">D18/$D$24</f>
        <v>#DIV/0!</v>
      </c>
      <c r="G18" s="42"/>
      <c r="H18" s="43" t="n">
        <v>0</v>
      </c>
      <c r="I18" s="43"/>
      <c r="J18" s="44" t="e">
        <f aca="false">H18/$H$24</f>
        <v>#DIV/0!</v>
      </c>
      <c r="K18" s="45" t="str">
        <f aca="false">IF(D18=0,"nd",(IF(H18=0,"nd",H18/D18)))</f>
        <v>nd</v>
      </c>
      <c r="L18" s="46" t="n">
        <v>0</v>
      </c>
      <c r="M18" s="41" t="e">
        <f aca="false">L18/$L$24</f>
        <v>#DIV/0!</v>
      </c>
      <c r="N18" s="47" t="str">
        <f aca="false">IF(H18=0,"nd",(IF(L18=0,"nd",L18/H18)))</f>
        <v>nd</v>
      </c>
      <c r="O18" s="43" t="n">
        <v>0</v>
      </c>
      <c r="P18" s="44" t="e">
        <f aca="false">O18/$O$24</f>
        <v>#DIV/0!</v>
      </c>
      <c r="Q18" s="45" t="str">
        <f aca="false">IF(L18=0,"nd",(IF(O18=0,"nd",O18/L18)))</f>
        <v>nd</v>
      </c>
      <c r="R18" s="46" t="n">
        <v>0</v>
      </c>
      <c r="S18" s="41" t="e">
        <f aca="false">R18/$R$24</f>
        <v>#DIV/0!</v>
      </c>
      <c r="T18" s="48" t="str">
        <f aca="false">IF(O18=0,"nd",(IF(R18=0,"nd",R18/O18)))</f>
        <v>nd</v>
      </c>
      <c r="U18" s="46" t="n">
        <v>0</v>
      </c>
      <c r="V18" s="41" t="e">
        <f aca="false">U18/$U$24</f>
        <v>#DIV/0!</v>
      </c>
      <c r="W18" s="48" t="str">
        <f aca="false">IF(R18=0,"nd",(IF(U18=0,"nd",U18/R18)))</f>
        <v>nd</v>
      </c>
      <c r="X18" s="49"/>
      <c r="Y18" s="50" t="s">
        <v>13</v>
      </c>
      <c r="Z18" s="51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customFormat="false" ht="13.5" hidden="false" customHeight="true" outlineLevel="0" collapsed="false">
      <c r="B19" s="54" t="s">
        <v>14</v>
      </c>
      <c r="C19" s="55"/>
      <c r="D19" s="56" t="n">
        <v>0</v>
      </c>
      <c r="E19" s="56"/>
      <c r="F19" s="57" t="e">
        <f aca="false">D19/$D$24</f>
        <v>#DIV/0!</v>
      </c>
      <c r="G19" s="57"/>
      <c r="H19" s="58" t="n">
        <v>0</v>
      </c>
      <c r="I19" s="58"/>
      <c r="J19" s="59" t="e">
        <f aca="false">H19/$H$24</f>
        <v>#DIV/0!</v>
      </c>
      <c r="K19" s="60" t="str">
        <f aca="false">IF(D19=0,"nd",(IF(H19=0,"nd",H19/D19)))</f>
        <v>nd</v>
      </c>
      <c r="L19" s="61" t="n">
        <v>0</v>
      </c>
      <c r="M19" s="57" t="e">
        <f aca="false">L19/$L$24</f>
        <v>#DIV/0!</v>
      </c>
      <c r="N19" s="60" t="str">
        <f aca="false">IF(H19=0,"nd",(IF(L19=0,"nd",L19/H19)))</f>
        <v>nd</v>
      </c>
      <c r="O19" s="58" t="n">
        <v>0</v>
      </c>
      <c r="P19" s="59" t="e">
        <f aca="false">O19/$O$24</f>
        <v>#DIV/0!</v>
      </c>
      <c r="Q19" s="60" t="str">
        <f aca="false">IF(L19=0,"nd",(IF(O19=0,"nd",O19/L19)))</f>
        <v>nd</v>
      </c>
      <c r="R19" s="61" t="n">
        <v>0</v>
      </c>
      <c r="S19" s="57" t="e">
        <f aca="false">R19/$R$24</f>
        <v>#DIV/0!</v>
      </c>
      <c r="T19" s="62" t="str">
        <f aca="false">IF(O19=0,"nd",(IF(R19=0,"nd",R19/O19)))</f>
        <v>nd</v>
      </c>
      <c r="U19" s="61" t="n">
        <v>0</v>
      </c>
      <c r="V19" s="41" t="e">
        <f aca="false">U19/$U$24</f>
        <v>#DIV/0!</v>
      </c>
      <c r="W19" s="62" t="str">
        <f aca="false">IF(R19=0,"nd",(IF(U19=0,"nd",U19/R19)))</f>
        <v>nd</v>
      </c>
      <c r="X19" s="63"/>
      <c r="Y19" s="64"/>
      <c r="Z19" s="65"/>
      <c r="AA19" s="66" t="n">
        <f aca="false">D13</f>
        <v>2022</v>
      </c>
      <c r="AB19" s="67"/>
      <c r="AC19" s="68" t="n">
        <f aca="false">H13</f>
        <v>2023</v>
      </c>
      <c r="AD19" s="67"/>
      <c r="AE19" s="68" t="n">
        <f aca="false">L13</f>
        <v>2024</v>
      </c>
      <c r="AF19" s="67"/>
      <c r="AG19" s="68" t="n">
        <f aca="false">O13</f>
        <v>2025</v>
      </c>
      <c r="AH19" s="67"/>
      <c r="AI19" s="66" t="str">
        <f aca="false">R13</f>
        <v>2026 - previsione</v>
      </c>
      <c r="AJ19" s="69"/>
    </row>
    <row r="20" customFormat="false" ht="13.5" hidden="false" customHeight="true" outlineLevel="0" collapsed="false">
      <c r="B20" s="54" t="s">
        <v>15</v>
      </c>
      <c r="C20" s="55"/>
      <c r="D20" s="70" t="n">
        <v>0</v>
      </c>
      <c r="E20" s="70"/>
      <c r="F20" s="57" t="e">
        <f aca="false">D20/$D$24</f>
        <v>#DIV/0!</v>
      </c>
      <c r="G20" s="71"/>
      <c r="H20" s="72" t="n">
        <v>0</v>
      </c>
      <c r="I20" s="72"/>
      <c r="J20" s="59" t="e">
        <f aca="false">H20/$H$24</f>
        <v>#DIV/0!</v>
      </c>
      <c r="K20" s="60" t="str">
        <f aca="false">IF(D20=0,"nd",(IF(H20=0,"nd",H20/D20)))</f>
        <v>nd</v>
      </c>
      <c r="L20" s="61" t="n">
        <v>0</v>
      </c>
      <c r="M20" s="57" t="e">
        <f aca="false">L20/$L$24</f>
        <v>#DIV/0!</v>
      </c>
      <c r="N20" s="62" t="str">
        <f aca="false">IF(H20=0,"nd",(IF(L20=0,"nd",L20/H20)))</f>
        <v>nd</v>
      </c>
      <c r="O20" s="72" t="n">
        <v>0</v>
      </c>
      <c r="P20" s="59" t="e">
        <f aca="false">O20/$O$24</f>
        <v>#DIV/0!</v>
      </c>
      <c r="Q20" s="60" t="str">
        <f aca="false">IF(L20=0,"nd",(IF(O20=0,"nd",O20/L20)))</f>
        <v>nd</v>
      </c>
      <c r="R20" s="61" t="n">
        <v>0</v>
      </c>
      <c r="S20" s="57" t="e">
        <f aca="false">R20/$R$24</f>
        <v>#DIV/0!</v>
      </c>
      <c r="T20" s="62" t="str">
        <f aca="false">IF(O20=0,"nd",(IF(R20=0,"nd",R20/O20)))</f>
        <v>nd</v>
      </c>
      <c r="U20" s="61" t="n">
        <v>0</v>
      </c>
      <c r="V20" s="41" t="e">
        <f aca="false">U20/$U$24</f>
        <v>#DIV/0!</v>
      </c>
      <c r="W20" s="62" t="str">
        <f aca="false">IF(R20=0,"nd",(IF(U20=0,"nd",U20/R20)))</f>
        <v>nd</v>
      </c>
      <c r="X20" s="63"/>
      <c r="Y20" s="73" t="s">
        <v>16</v>
      </c>
      <c r="AA20" s="74" t="n">
        <v>0</v>
      </c>
      <c r="AB20" s="75"/>
      <c r="AC20" s="74" t="n">
        <v>0</v>
      </c>
      <c r="AD20" s="75"/>
      <c r="AE20" s="74" t="n">
        <v>0</v>
      </c>
      <c r="AF20" s="76"/>
      <c r="AG20" s="74" t="n">
        <v>0</v>
      </c>
      <c r="AH20" s="76"/>
      <c r="AI20" s="74" t="n">
        <v>0</v>
      </c>
      <c r="AJ20" s="77"/>
    </row>
    <row r="21" customFormat="false" ht="13.5" hidden="false" customHeight="true" outlineLevel="0" collapsed="false">
      <c r="B21" s="78" t="s">
        <v>17</v>
      </c>
      <c r="C21" s="78"/>
      <c r="D21" s="56" t="n">
        <v>0</v>
      </c>
      <c r="E21" s="56"/>
      <c r="F21" s="57" t="e">
        <f aca="false">D21/$D$24</f>
        <v>#DIV/0!</v>
      </c>
      <c r="G21" s="57"/>
      <c r="H21" s="58" t="n">
        <v>0</v>
      </c>
      <c r="I21" s="58"/>
      <c r="J21" s="59" t="e">
        <f aca="false">H21/$H$24</f>
        <v>#DIV/0!</v>
      </c>
      <c r="K21" s="60" t="str">
        <f aca="false">IF(D21=0,"nd",(IF(H21=0,"nd",H21/D21)))</f>
        <v>nd</v>
      </c>
      <c r="L21" s="61" t="n">
        <v>0</v>
      </c>
      <c r="M21" s="57" t="e">
        <f aca="false">L21/$L$24</f>
        <v>#DIV/0!</v>
      </c>
      <c r="N21" s="60" t="str">
        <f aca="false">IF(H21=0,"nd",(IF(L21=0,"nd",L21/H21)))</f>
        <v>nd</v>
      </c>
      <c r="O21" s="58" t="n">
        <v>0</v>
      </c>
      <c r="P21" s="59" t="e">
        <f aca="false">O21/$O$24</f>
        <v>#DIV/0!</v>
      </c>
      <c r="Q21" s="60" t="str">
        <f aca="false">IF(L21=0,"nd",(IF(O21=0,"nd",O21/L21)))</f>
        <v>nd</v>
      </c>
      <c r="R21" s="61" t="n">
        <v>0</v>
      </c>
      <c r="S21" s="57" t="e">
        <f aca="false">R21/$R$24</f>
        <v>#DIV/0!</v>
      </c>
      <c r="T21" s="62" t="str">
        <f aca="false">IF(O21=0,"nd",(IF(R21=0,"nd",R21/O21)))</f>
        <v>nd</v>
      </c>
      <c r="U21" s="61" t="n">
        <v>0</v>
      </c>
      <c r="V21" s="41" t="e">
        <f aca="false">U21/$U$24</f>
        <v>#DIV/0!</v>
      </c>
      <c r="W21" s="62" t="str">
        <f aca="false">IF(R21=0,"nd",(IF(U21=0,"nd",U21/R21)))</f>
        <v>nd</v>
      </c>
      <c r="X21" s="63"/>
      <c r="Y21" s="73" t="s">
        <v>18</v>
      </c>
      <c r="AA21" s="74" t="n">
        <v>0</v>
      </c>
      <c r="AB21" s="79"/>
      <c r="AC21" s="74" t="n">
        <v>0</v>
      </c>
      <c r="AD21" s="79"/>
      <c r="AE21" s="74" t="n">
        <v>0</v>
      </c>
      <c r="AF21" s="80"/>
      <c r="AG21" s="74" t="n">
        <v>0</v>
      </c>
      <c r="AH21" s="80"/>
      <c r="AI21" s="74" t="n">
        <v>0</v>
      </c>
      <c r="AJ21" s="77"/>
    </row>
    <row r="22" customFormat="false" ht="13.5" hidden="false" customHeight="true" outlineLevel="0" collapsed="false">
      <c r="B22" s="78" t="s">
        <v>19</v>
      </c>
      <c r="C22" s="78"/>
      <c r="D22" s="56" t="n">
        <v>0</v>
      </c>
      <c r="E22" s="56"/>
      <c r="F22" s="57" t="e">
        <f aca="false">D22/$D$24</f>
        <v>#DIV/0!</v>
      </c>
      <c r="G22" s="57"/>
      <c r="H22" s="58" t="n">
        <v>0</v>
      </c>
      <c r="I22" s="58"/>
      <c r="J22" s="59" t="e">
        <f aca="false">H22/$H$24</f>
        <v>#DIV/0!</v>
      </c>
      <c r="K22" s="60" t="str">
        <f aca="false">IF(D22=0,"nd",(IF(H22=0,"nd",H22/D22)))</f>
        <v>nd</v>
      </c>
      <c r="L22" s="61" t="n">
        <v>0</v>
      </c>
      <c r="M22" s="57" t="e">
        <f aca="false">L22/$L$24</f>
        <v>#DIV/0!</v>
      </c>
      <c r="N22" s="60" t="str">
        <f aca="false">IF(H22=0,"nd",(IF(L22=0,"nd",L22/H22)))</f>
        <v>nd</v>
      </c>
      <c r="O22" s="58" t="n">
        <v>0</v>
      </c>
      <c r="P22" s="59" t="e">
        <f aca="false">O22/$O$24</f>
        <v>#DIV/0!</v>
      </c>
      <c r="Q22" s="60" t="str">
        <f aca="false">IF(L22=0,"nd",(IF(O22=0,"nd",O22/L22)))</f>
        <v>nd</v>
      </c>
      <c r="R22" s="61" t="n">
        <v>0</v>
      </c>
      <c r="S22" s="57" t="e">
        <f aca="false">R22/$R$24</f>
        <v>#DIV/0!</v>
      </c>
      <c r="T22" s="62" t="str">
        <f aca="false">IF(O22=0,"nd",(IF(R22=0,"nd",R22/O22)))</f>
        <v>nd</v>
      </c>
      <c r="U22" s="61" t="n">
        <v>0</v>
      </c>
      <c r="V22" s="41" t="e">
        <f aca="false">U22/$U$24</f>
        <v>#DIV/0!</v>
      </c>
      <c r="W22" s="62" t="str">
        <f aca="false">IF(R22=0,"nd",(IF(U22=0,"nd",U22/R22)))</f>
        <v>nd</v>
      </c>
      <c r="X22" s="63"/>
      <c r="Y22" s="73" t="s">
        <v>20</v>
      </c>
      <c r="Z22" s="65"/>
      <c r="AA22" s="81" t="n">
        <v>0</v>
      </c>
      <c r="AB22" s="82"/>
      <c r="AC22" s="81" t="n">
        <v>0</v>
      </c>
      <c r="AD22" s="82"/>
      <c r="AE22" s="81" t="n">
        <v>0</v>
      </c>
      <c r="AF22" s="82"/>
      <c r="AG22" s="81" t="n">
        <v>0</v>
      </c>
      <c r="AH22" s="82"/>
      <c r="AI22" s="81" t="n">
        <v>0</v>
      </c>
      <c r="AJ22" s="83"/>
    </row>
    <row r="23" customFormat="false" ht="13.5" hidden="false" customHeight="true" outlineLevel="0" collapsed="false">
      <c r="B23" s="84" t="s">
        <v>21</v>
      </c>
      <c r="C23" s="85"/>
      <c r="D23" s="86" t="n">
        <v>0</v>
      </c>
      <c r="E23" s="86"/>
      <c r="F23" s="87" t="e">
        <f aca="false">D23/$D$24</f>
        <v>#DIV/0!</v>
      </c>
      <c r="G23" s="87"/>
      <c r="H23" s="88" t="n">
        <v>0</v>
      </c>
      <c r="I23" s="88"/>
      <c r="J23" s="89" t="e">
        <f aca="false">H23/$H$24</f>
        <v>#DIV/0!</v>
      </c>
      <c r="K23" s="90" t="str">
        <f aca="false">IF(D23=0,"nd",(IF(H23=0,"nd",H23/D23)))</f>
        <v>nd</v>
      </c>
      <c r="L23" s="91" t="n">
        <v>0</v>
      </c>
      <c r="M23" s="87" t="e">
        <f aca="false">L23/$L$24</f>
        <v>#DIV/0!</v>
      </c>
      <c r="N23" s="90" t="str">
        <f aca="false">IF(H23=0,"nd",(IF(L23=0,"nd",L23/H23)))</f>
        <v>nd</v>
      </c>
      <c r="O23" s="88" t="n">
        <v>0</v>
      </c>
      <c r="P23" s="89" t="e">
        <f aca="false">O23/$O$24</f>
        <v>#DIV/0!</v>
      </c>
      <c r="Q23" s="90" t="str">
        <f aca="false">IF(L23=0,"nd",(IF(O23=0,"nd",O23/L23)))</f>
        <v>nd</v>
      </c>
      <c r="R23" s="91" t="n">
        <v>0</v>
      </c>
      <c r="S23" s="87" t="e">
        <f aca="false">R23/$R$24</f>
        <v>#DIV/0!</v>
      </c>
      <c r="T23" s="90" t="str">
        <f aca="false">IF(O23=0,"nd",(IF(R23=0,"nd",R23/O23)))</f>
        <v>nd</v>
      </c>
      <c r="U23" s="91" t="n">
        <v>0</v>
      </c>
      <c r="V23" s="41" t="e">
        <f aca="false">U23/$U$24</f>
        <v>#DIV/0!</v>
      </c>
      <c r="W23" s="90" t="str">
        <f aca="false">IF(R23=0,"nd",(IF(U23=0,"nd",U23/R23)))</f>
        <v>nd</v>
      </c>
      <c r="X23" s="63"/>
      <c r="Y23" s="92" t="s">
        <v>22</v>
      </c>
      <c r="Z23" s="93"/>
      <c r="AA23" s="94" t="n">
        <f aca="false">AA20-AA21-AA22</f>
        <v>0</v>
      </c>
      <c r="AB23" s="95"/>
      <c r="AC23" s="94" t="n">
        <f aca="false">AC20-AC21-AC22</f>
        <v>0</v>
      </c>
      <c r="AD23" s="95"/>
      <c r="AE23" s="94" t="n">
        <f aca="false">AE20-AE21-AE22</f>
        <v>0</v>
      </c>
      <c r="AF23" s="95"/>
      <c r="AG23" s="94" t="n">
        <f aca="false">AG20-AG21-AG22</f>
        <v>0</v>
      </c>
      <c r="AH23" s="95"/>
      <c r="AI23" s="94" t="n">
        <f aca="false">AI20-AI21-AI22</f>
        <v>0</v>
      </c>
      <c r="AJ23" s="96"/>
    </row>
    <row r="24" customFormat="false" ht="13.5" hidden="false" customHeight="true" outlineLevel="0" collapsed="false">
      <c r="C24" s="97" t="s">
        <v>23</v>
      </c>
      <c r="D24" s="98" t="n">
        <f aca="false">SUM(D18:E23)</f>
        <v>0</v>
      </c>
      <c r="E24" s="98"/>
      <c r="F24" s="99" t="e">
        <f aca="false">SUM(F18:F23)</f>
        <v>#DIV/0!</v>
      </c>
      <c r="G24" s="99"/>
      <c r="H24" s="100" t="n">
        <f aca="false">SUM(H18:I23)</f>
        <v>0</v>
      </c>
      <c r="I24" s="100"/>
      <c r="J24" s="101" t="e">
        <f aca="false">SUM(J18:J23)</f>
        <v>#DIV/0!</v>
      </c>
      <c r="K24" s="101" t="str">
        <f aca="false">IF(D24=0,"nd",(IF(H24=0,"nd",H24/D24)))</f>
        <v>nd</v>
      </c>
      <c r="L24" s="102" t="n">
        <f aca="false">SUM(L18:L23)</f>
        <v>0</v>
      </c>
      <c r="M24" s="99" t="e">
        <f aca="false">SUM(M18:M23)</f>
        <v>#DIV/0!</v>
      </c>
      <c r="N24" s="101" t="str">
        <f aca="false">IF(H24=0,"nd",(IF(L24=0,"nd",L24/H24)))</f>
        <v>nd</v>
      </c>
      <c r="O24" s="100" t="n">
        <f aca="false">SUM(O18:O23)</f>
        <v>0</v>
      </c>
      <c r="P24" s="101" t="e">
        <f aca="false">SUM(P18:P23)</f>
        <v>#DIV/0!</v>
      </c>
      <c r="Q24" s="101" t="str">
        <f aca="false">IF(L24=0,"nd",(IF(O24=0,"nd",O24/L24)))</f>
        <v>nd</v>
      </c>
      <c r="R24" s="102" t="n">
        <f aca="false">SUM(R18:R23)</f>
        <v>0</v>
      </c>
      <c r="S24" s="99" t="e">
        <f aca="false">SUM(S18:S23)</f>
        <v>#DIV/0!</v>
      </c>
      <c r="T24" s="101" t="str">
        <f aca="false">IF(O24=0,"nd",(IF(R24=0,"nd",R24/O24)))</f>
        <v>nd</v>
      </c>
      <c r="U24" s="102" t="n">
        <f aca="false">SUM(U18:U23)</f>
        <v>0</v>
      </c>
      <c r="V24" s="99" t="e">
        <f aca="false">SUM(V18:V23)</f>
        <v>#DIV/0!</v>
      </c>
      <c r="W24" s="101" t="str">
        <f aca="false">IF(R24=0,"nd",(IF(U24=0,"nd",U24/R24)))</f>
        <v>nd</v>
      </c>
      <c r="X24" s="103"/>
      <c r="Y24" s="104"/>
      <c r="Z24" s="105"/>
      <c r="AA24" s="105"/>
      <c r="AB24" s="105"/>
      <c r="AC24" s="105"/>
      <c r="AD24" s="105"/>
      <c r="AE24" s="105"/>
      <c r="AF24" s="105"/>
      <c r="AG24" s="105"/>
      <c r="AH24" s="105"/>
      <c r="AI24" s="105"/>
      <c r="AJ24" s="106"/>
    </row>
    <row r="25" customFormat="false" ht="7.5" hidden="false" customHeight="true" outlineLevel="0" collapsed="false"/>
    <row r="26" customFormat="false" ht="13.5" hidden="false" customHeight="true" outlineLevel="0" collapsed="false">
      <c r="B26" s="5" t="s">
        <v>24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6"/>
      <c r="U26" s="6"/>
      <c r="V26" s="6"/>
      <c r="W26" s="6"/>
    </row>
    <row r="27" customFormat="false" ht="7.5" hidden="false" customHeight="true" outlineLevel="0" collapsed="false">
      <c r="B27" s="65"/>
      <c r="C27" s="65"/>
      <c r="D27" s="107"/>
      <c r="E27" s="107"/>
      <c r="F27" s="3"/>
      <c r="G27" s="3"/>
      <c r="H27" s="107"/>
      <c r="I27" s="107"/>
      <c r="J27" s="3"/>
      <c r="K27" s="31"/>
      <c r="L27" s="4"/>
      <c r="M27" s="3"/>
      <c r="N27" s="31"/>
      <c r="O27" s="4"/>
      <c r="P27" s="3"/>
      <c r="Q27" s="31"/>
      <c r="R27" s="4"/>
      <c r="S27" s="3"/>
      <c r="T27" s="31"/>
      <c r="U27" s="4"/>
      <c r="V27" s="3"/>
      <c r="W27" s="31"/>
      <c r="X27" s="3"/>
    </row>
    <row r="28" customFormat="false" ht="13.5" hidden="false" customHeight="true" outlineLevel="0" collapsed="false">
      <c r="B28" s="108" t="s">
        <v>25</v>
      </c>
      <c r="C28" s="109"/>
      <c r="D28" s="110" t="n">
        <f aca="false">SUM(D29:E39)</f>
        <v>0</v>
      </c>
      <c r="E28" s="110"/>
      <c r="F28" s="111" t="e">
        <f aca="false">D28/$D$24</f>
        <v>#DIV/0!</v>
      </c>
      <c r="G28" s="112"/>
      <c r="H28" s="113" t="n">
        <f aca="false">SUM(H29:I39)</f>
        <v>0</v>
      </c>
      <c r="I28" s="113"/>
      <c r="J28" s="112" t="e">
        <f aca="false">H28/$H$24</f>
        <v>#DIV/0!</v>
      </c>
      <c r="K28" s="114" t="str">
        <f aca="false">IF(D28=0,"nd",(IF(H28=0,"nd",H28/D28)))</f>
        <v>nd</v>
      </c>
      <c r="L28" s="110" t="n">
        <f aca="false">SUM(L29:L39)</f>
        <v>0</v>
      </c>
      <c r="M28" s="112" t="e">
        <f aca="false">L28/$L$24</f>
        <v>#DIV/0!</v>
      </c>
      <c r="N28" s="114" t="str">
        <f aca="false">IF(H28=0,"nd",(IF(L28=0,"nd",L28/H28)))</f>
        <v>nd</v>
      </c>
      <c r="O28" s="113" t="n">
        <f aca="false">SUM(O29:O39)</f>
        <v>0</v>
      </c>
      <c r="P28" s="112" t="e">
        <f aca="false">O28/$O$24</f>
        <v>#DIV/0!</v>
      </c>
      <c r="Q28" s="114" t="str">
        <f aca="false">IF(L28=0,"nd",(IF(O28=0,"nd",O28/L28)))</f>
        <v>nd</v>
      </c>
      <c r="R28" s="110" t="n">
        <f aca="false">SUM(R29:R39)</f>
        <v>0</v>
      </c>
      <c r="S28" s="112" t="e">
        <f aca="false">R28/$R$24</f>
        <v>#DIV/0!</v>
      </c>
      <c r="T28" s="114" t="str">
        <f aca="false">IF(O28=0,"nd",(IF(R28=0,"nd",R28/O28)))</f>
        <v>nd</v>
      </c>
      <c r="U28" s="110" t="n">
        <f aca="false">SUM(U29:U39)</f>
        <v>0</v>
      </c>
      <c r="V28" s="112" t="e">
        <f aca="false">U28/$U$24</f>
        <v>#DIV/0!</v>
      </c>
      <c r="W28" s="114" t="str">
        <f aca="false">IF(R28=0,"nd",(IF(U28=0,"nd",U28/R28)))</f>
        <v>nd</v>
      </c>
      <c r="X28" s="63"/>
    </row>
    <row r="29" customFormat="false" ht="13.5" hidden="false" customHeight="true" outlineLevel="0" collapsed="false">
      <c r="B29" s="115" t="s">
        <v>26</v>
      </c>
      <c r="C29" s="116" t="s">
        <v>27</v>
      </c>
      <c r="D29" s="117" t="n">
        <v>0</v>
      </c>
      <c r="E29" s="117"/>
      <c r="F29" s="118" t="e">
        <f aca="false">IF(D29="nd","-",D29/$D$24)</f>
        <v>#DIV/0!</v>
      </c>
      <c r="G29" s="119"/>
      <c r="H29" s="120" t="n">
        <v>0</v>
      </c>
      <c r="I29" s="120"/>
      <c r="J29" s="119" t="e">
        <f aca="false">IF(H29="nd","-",H29/$H$24)</f>
        <v>#DIV/0!</v>
      </c>
      <c r="K29" s="121" t="str">
        <f aca="false">IF(D29=0,"nd",(IF(H29=0,"nd",H29/D29)))</f>
        <v>nd</v>
      </c>
      <c r="L29" s="117" t="n">
        <v>0</v>
      </c>
      <c r="M29" s="119" t="e">
        <f aca="false">IF(L29="nd","-",L29/$L$24)</f>
        <v>#DIV/0!</v>
      </c>
      <c r="N29" s="121" t="str">
        <f aca="false">IF(H29=0,"nd",(IF(L29=0,"nd",L29/H29)))</f>
        <v>nd</v>
      </c>
      <c r="O29" s="120" t="n">
        <v>0</v>
      </c>
      <c r="P29" s="119" t="e">
        <f aca="false">IF(O29="nd","-",O29/$O$24)</f>
        <v>#DIV/0!</v>
      </c>
      <c r="Q29" s="121" t="str">
        <f aca="false">IF(L29=0,"nd",(IF(O29=0,"nd",O29/L29)))</f>
        <v>nd</v>
      </c>
      <c r="R29" s="117" t="n">
        <v>0</v>
      </c>
      <c r="S29" s="119" t="e">
        <f aca="false">IF(R29="nd","-",R29/$R$24)</f>
        <v>#DIV/0!</v>
      </c>
      <c r="T29" s="121" t="str">
        <f aca="false">IF(O29=0,"nd",(IF(R29=0,"nd",R29/O29)))</f>
        <v>nd</v>
      </c>
      <c r="U29" s="117" t="n">
        <v>0</v>
      </c>
      <c r="V29" s="119" t="e">
        <f aca="false">IF(U29="nd","-",U29/$U$24)</f>
        <v>#DIV/0!</v>
      </c>
      <c r="W29" s="121" t="str">
        <f aca="false">IF(R29=0,"nd",(IF(U29=0,"nd",U29/R29)))</f>
        <v>nd</v>
      </c>
      <c r="X29" s="63"/>
    </row>
    <row r="30" customFormat="false" ht="13.5" hidden="false" customHeight="true" outlineLevel="0" collapsed="false">
      <c r="B30" s="115" t="s">
        <v>26</v>
      </c>
      <c r="C30" s="116" t="s">
        <v>28</v>
      </c>
      <c r="D30" s="117" t="n">
        <v>0</v>
      </c>
      <c r="E30" s="117"/>
      <c r="F30" s="118" t="e">
        <f aca="false">IF(D30="nd","-",D30/$D$24)</f>
        <v>#DIV/0!</v>
      </c>
      <c r="G30" s="119"/>
      <c r="H30" s="120" t="n">
        <v>0</v>
      </c>
      <c r="I30" s="120"/>
      <c r="J30" s="119" t="e">
        <f aca="false">IF(H30="nd","-",H30/$H$24)</f>
        <v>#DIV/0!</v>
      </c>
      <c r="K30" s="121" t="str">
        <f aca="false">IF(D30=0,"nd",(IF(H30=0,"nd",H30/D30)))</f>
        <v>nd</v>
      </c>
      <c r="L30" s="117" t="n">
        <v>0</v>
      </c>
      <c r="M30" s="119" t="e">
        <f aca="false">IF(L30="nd","-",L30/$L$24)</f>
        <v>#DIV/0!</v>
      </c>
      <c r="N30" s="121" t="str">
        <f aca="false">IF(H30=0,"nd",(IF(L30=0,"nd",L30/H30)))</f>
        <v>nd</v>
      </c>
      <c r="O30" s="120" t="n">
        <v>0</v>
      </c>
      <c r="P30" s="119" t="e">
        <f aca="false">IF(O30="nd","-",O30/$O$24)</f>
        <v>#DIV/0!</v>
      </c>
      <c r="Q30" s="121" t="str">
        <f aca="false">IF(L30=0,"nd",(IF(O30=0,"nd",O30/L30)))</f>
        <v>nd</v>
      </c>
      <c r="R30" s="117" t="n">
        <v>0</v>
      </c>
      <c r="S30" s="119" t="e">
        <f aca="false">IF(R30="nd","-",R30/$R$24)</f>
        <v>#DIV/0!</v>
      </c>
      <c r="T30" s="121" t="str">
        <f aca="false">IF(O30=0,"nd",(IF(R30=0,"nd",R30/O30)))</f>
        <v>nd</v>
      </c>
      <c r="U30" s="117" t="n">
        <v>0</v>
      </c>
      <c r="V30" s="119" t="e">
        <f aca="false">IF(U30="nd","-",U30/$U$24)</f>
        <v>#DIV/0!</v>
      </c>
      <c r="W30" s="121" t="str">
        <f aca="false">IF(R30=0,"nd",(IF(U30=0,"nd",U30/R30)))</f>
        <v>nd</v>
      </c>
      <c r="X30" s="63"/>
    </row>
    <row r="31" customFormat="false" ht="13.5" hidden="false" customHeight="true" outlineLevel="0" collapsed="false">
      <c r="B31" s="115" t="s">
        <v>26</v>
      </c>
      <c r="C31" s="116" t="s">
        <v>29</v>
      </c>
      <c r="D31" s="117" t="n">
        <v>0</v>
      </c>
      <c r="E31" s="117"/>
      <c r="F31" s="118" t="e">
        <f aca="false">IF(D31="nd","-",D31/$D$24)</f>
        <v>#DIV/0!</v>
      </c>
      <c r="G31" s="119"/>
      <c r="H31" s="120" t="n">
        <v>0</v>
      </c>
      <c r="I31" s="120"/>
      <c r="J31" s="119" t="e">
        <f aca="false">IF(H31="nd","-",H31/$H$24)</f>
        <v>#DIV/0!</v>
      </c>
      <c r="K31" s="121" t="str">
        <f aca="false">IF(D31=0,"nd",(IF(H31=0,"nd",H31/D31)))</f>
        <v>nd</v>
      </c>
      <c r="L31" s="117" t="n">
        <v>0</v>
      </c>
      <c r="M31" s="119" t="e">
        <f aca="false">IF(L31="nd","-",L31/$L$24)</f>
        <v>#DIV/0!</v>
      </c>
      <c r="N31" s="121" t="str">
        <f aca="false">IF(H31=0,"nd",(IF(L31=0,"nd",L31/H31)))</f>
        <v>nd</v>
      </c>
      <c r="O31" s="120" t="n">
        <v>0</v>
      </c>
      <c r="P31" s="119" t="e">
        <f aca="false">IF(O31="nd","-",O31/$O$24)</f>
        <v>#DIV/0!</v>
      </c>
      <c r="Q31" s="121" t="str">
        <f aca="false">IF(L31=0,"nd",(IF(O31=0,"nd",O31/L31)))</f>
        <v>nd</v>
      </c>
      <c r="R31" s="117" t="n">
        <v>0</v>
      </c>
      <c r="S31" s="119" t="e">
        <f aca="false">IF(R31="nd","-",R31/$R$24)</f>
        <v>#DIV/0!</v>
      </c>
      <c r="T31" s="121" t="str">
        <f aca="false">IF(O31=0,"nd",(IF(R31=0,"nd",R31/O31)))</f>
        <v>nd</v>
      </c>
      <c r="U31" s="117" t="n">
        <v>0</v>
      </c>
      <c r="V31" s="119" t="e">
        <f aca="false">IF(U31="nd","-",U31/$U$24)</f>
        <v>#DIV/0!</v>
      </c>
      <c r="W31" s="121" t="str">
        <f aca="false">IF(R31=0,"nd",(IF(U31=0,"nd",U31/R31)))</f>
        <v>nd</v>
      </c>
      <c r="X31" s="63"/>
    </row>
    <row r="32" customFormat="false" ht="13.5" hidden="false" customHeight="true" outlineLevel="0" collapsed="false">
      <c r="B32" s="122" t="s">
        <v>26</v>
      </c>
      <c r="C32" s="123" t="s">
        <v>30</v>
      </c>
      <c r="D32" s="124" t="n">
        <v>0</v>
      </c>
      <c r="E32" s="124"/>
      <c r="F32" s="125" t="e">
        <f aca="false">IF(D32="nd","-",D32/$D$24)</f>
        <v>#DIV/0!</v>
      </c>
      <c r="G32" s="126"/>
      <c r="H32" s="127" t="n">
        <v>0</v>
      </c>
      <c r="I32" s="127"/>
      <c r="J32" s="126" t="e">
        <f aca="false">IF(H32="nd","-",H32/$H$24)</f>
        <v>#DIV/0!</v>
      </c>
      <c r="K32" s="62" t="str">
        <f aca="false">IF(D32=0,"nd",(IF(H32=0,"nd",H32/D32)))</f>
        <v>nd</v>
      </c>
      <c r="L32" s="124" t="n">
        <v>0</v>
      </c>
      <c r="M32" s="126" t="e">
        <f aca="false">IF(L32="nd","-",L32/$L$24)</f>
        <v>#DIV/0!</v>
      </c>
      <c r="N32" s="62" t="str">
        <f aca="false">IF(H32=0,"nd",(IF(L32=0,"nd",L32/H32)))</f>
        <v>nd</v>
      </c>
      <c r="O32" s="127" t="n">
        <v>0</v>
      </c>
      <c r="P32" s="126" t="e">
        <f aca="false">IF(O32="nd","-",O32/$O$24)</f>
        <v>#DIV/0!</v>
      </c>
      <c r="Q32" s="62" t="str">
        <f aca="false">IF(L32=0,"nd",(IF(O32=0,"nd",O32/L32)))</f>
        <v>nd</v>
      </c>
      <c r="R32" s="124" t="n">
        <v>0</v>
      </c>
      <c r="S32" s="126" t="e">
        <f aca="false">IF(R32="nd","-",R32/$R$24)</f>
        <v>#DIV/0!</v>
      </c>
      <c r="T32" s="121" t="str">
        <f aca="false">IF(O32=0,"nd",(IF(R32=0,"nd",R32/O32)))</f>
        <v>nd</v>
      </c>
      <c r="U32" s="124" t="n">
        <v>0</v>
      </c>
      <c r="V32" s="119" t="e">
        <f aca="false">IF(U32="nd","-",U32/$U$24)</f>
        <v>#DIV/0!</v>
      </c>
      <c r="W32" s="121" t="str">
        <f aca="false">IF(R32=0,"nd",(IF(U32=0,"nd",U32/R32)))</f>
        <v>nd</v>
      </c>
      <c r="X32" s="63"/>
    </row>
    <row r="33" customFormat="false" ht="13.5" hidden="false" customHeight="true" outlineLevel="0" collapsed="false">
      <c r="A33" s="128"/>
      <c r="B33" s="115" t="s">
        <v>26</v>
      </c>
      <c r="C33" s="116" t="s">
        <v>31</v>
      </c>
      <c r="D33" s="117" t="n">
        <v>0</v>
      </c>
      <c r="E33" s="117"/>
      <c r="F33" s="118" t="e">
        <f aca="false">IF(D33="nd","-",D33/$D$24)</f>
        <v>#DIV/0!</v>
      </c>
      <c r="G33" s="119"/>
      <c r="H33" s="120" t="n">
        <v>0</v>
      </c>
      <c r="I33" s="120"/>
      <c r="J33" s="119" t="e">
        <f aca="false">IF(H33="nd","-",H33/$H$24)</f>
        <v>#DIV/0!</v>
      </c>
      <c r="K33" s="121" t="str">
        <f aca="false">IF(D33=0,"nd",(IF(H33=0,"nd",H33/D33)))</f>
        <v>nd</v>
      </c>
      <c r="L33" s="117" t="n">
        <v>0</v>
      </c>
      <c r="M33" s="119" t="e">
        <f aca="false">IF(L33="nd","-",L33/$L$24)</f>
        <v>#DIV/0!</v>
      </c>
      <c r="N33" s="121" t="str">
        <f aca="false">IF(H33=0,"nd",(IF(L33=0,"nd",L33/H33)))</f>
        <v>nd</v>
      </c>
      <c r="O33" s="120" t="n">
        <v>0</v>
      </c>
      <c r="P33" s="119" t="e">
        <f aca="false">IF(O33="nd","-",O33/$O$24)</f>
        <v>#DIV/0!</v>
      </c>
      <c r="Q33" s="121" t="str">
        <f aca="false">IF(L33=0,"nd",(IF(O33=0,"nd",O33/L33)))</f>
        <v>nd</v>
      </c>
      <c r="R33" s="117" t="n">
        <v>0</v>
      </c>
      <c r="S33" s="119" t="e">
        <f aca="false">IF(R33="nd","-",R33/$R$24)</f>
        <v>#DIV/0!</v>
      </c>
      <c r="T33" s="121" t="str">
        <f aca="false">IF(O33=0,"nd",(IF(R33=0,"nd",R33/O33)))</f>
        <v>nd</v>
      </c>
      <c r="U33" s="117" t="n">
        <v>0</v>
      </c>
      <c r="V33" s="119" t="e">
        <f aca="false">IF(U33="nd","-",U33/$U$24)</f>
        <v>#DIV/0!</v>
      </c>
      <c r="W33" s="121" t="str">
        <f aca="false">IF(R33=0,"nd",(IF(U33=0,"nd",U33/R33)))</f>
        <v>nd</v>
      </c>
      <c r="X33" s="63"/>
    </row>
    <row r="34" customFormat="false" ht="13.5" hidden="false" customHeight="true" outlineLevel="0" collapsed="false">
      <c r="A34" s="128"/>
      <c r="B34" s="115" t="s">
        <v>26</v>
      </c>
      <c r="C34" s="116" t="s">
        <v>32</v>
      </c>
      <c r="D34" s="117" t="n">
        <v>0</v>
      </c>
      <c r="E34" s="117"/>
      <c r="F34" s="118" t="e">
        <f aca="false">IF(D34="nd","-",D34/$D$24)</f>
        <v>#DIV/0!</v>
      </c>
      <c r="G34" s="119"/>
      <c r="H34" s="120" t="n">
        <v>0</v>
      </c>
      <c r="I34" s="120"/>
      <c r="J34" s="119" t="e">
        <f aca="false">IF(H34="nd","-",H34/$H$24)</f>
        <v>#DIV/0!</v>
      </c>
      <c r="K34" s="121" t="str">
        <f aca="false">IF(D34=0,"nd",(IF(H34=0,"nd",H34/D34)))</f>
        <v>nd</v>
      </c>
      <c r="L34" s="117" t="n">
        <v>0</v>
      </c>
      <c r="M34" s="119" t="e">
        <f aca="false">IF(L34="nd","-",L34/$L$24)</f>
        <v>#DIV/0!</v>
      </c>
      <c r="N34" s="121" t="str">
        <f aca="false">IF(H34=0,"nd",(IF(L34=0,"nd",L34/H34)))</f>
        <v>nd</v>
      </c>
      <c r="O34" s="120" t="n">
        <v>0</v>
      </c>
      <c r="P34" s="119" t="e">
        <f aca="false">IF(O34="nd","-",O34/$O$24)</f>
        <v>#DIV/0!</v>
      </c>
      <c r="Q34" s="121" t="str">
        <f aca="false">IF(L34=0,"nd",(IF(O34=0,"nd",O34/L34)))</f>
        <v>nd</v>
      </c>
      <c r="R34" s="117" t="n">
        <v>0</v>
      </c>
      <c r="S34" s="119" t="e">
        <f aca="false">IF(R34="nd","-",R34/$R$24)</f>
        <v>#DIV/0!</v>
      </c>
      <c r="T34" s="121" t="str">
        <f aca="false">IF(O34=0,"nd",(IF(R34=0,"nd",R34/O34)))</f>
        <v>nd</v>
      </c>
      <c r="U34" s="117" t="n">
        <v>0</v>
      </c>
      <c r="V34" s="119" t="e">
        <f aca="false">IF(U34="nd","-",U34/$U$24)</f>
        <v>#DIV/0!</v>
      </c>
      <c r="W34" s="121" t="str">
        <f aca="false">IF(R34=0,"nd",(IF(U34=0,"nd",U34/R34)))</f>
        <v>nd</v>
      </c>
      <c r="X34" s="63"/>
    </row>
    <row r="35" customFormat="false" ht="13.5" hidden="false" customHeight="true" outlineLevel="0" collapsed="false">
      <c r="A35" s="128"/>
      <c r="B35" s="115" t="s">
        <v>26</v>
      </c>
      <c r="C35" s="116" t="s">
        <v>33</v>
      </c>
      <c r="D35" s="117" t="n">
        <v>0</v>
      </c>
      <c r="E35" s="117"/>
      <c r="F35" s="118" t="e">
        <f aca="false">IF(D35="nd","-",D35/$D$24)</f>
        <v>#DIV/0!</v>
      </c>
      <c r="G35" s="119"/>
      <c r="H35" s="120" t="n">
        <v>0</v>
      </c>
      <c r="I35" s="120"/>
      <c r="J35" s="119" t="e">
        <f aca="false">IF(H35="nd","-",H35/$H$24)</f>
        <v>#DIV/0!</v>
      </c>
      <c r="K35" s="121" t="str">
        <f aca="false">IF(D35=0,"nd",(IF(H35=0,"nd",H35/D35)))</f>
        <v>nd</v>
      </c>
      <c r="L35" s="117" t="n">
        <v>0</v>
      </c>
      <c r="M35" s="119" t="e">
        <f aca="false">IF(L35="nd","-",L35/$L$24)</f>
        <v>#DIV/0!</v>
      </c>
      <c r="N35" s="121" t="str">
        <f aca="false">IF(H35=0,"nd",(IF(L35=0,"nd",L35/H35)))</f>
        <v>nd</v>
      </c>
      <c r="O35" s="120" t="n">
        <v>0</v>
      </c>
      <c r="P35" s="119" t="e">
        <f aca="false">IF(O35="nd","-",O35/$O$24)</f>
        <v>#DIV/0!</v>
      </c>
      <c r="Q35" s="121" t="str">
        <f aca="false">IF(L35=0,"nd",(IF(O35=0,"nd",O35/L35)))</f>
        <v>nd</v>
      </c>
      <c r="R35" s="117" t="n">
        <v>0</v>
      </c>
      <c r="S35" s="119" t="e">
        <f aca="false">IF(R35="nd","-",R35/$R$24)</f>
        <v>#DIV/0!</v>
      </c>
      <c r="T35" s="121" t="str">
        <f aca="false">IF(O35=0,"nd",(IF(R35=0,"nd",R35/O35)))</f>
        <v>nd</v>
      </c>
      <c r="U35" s="117" t="n">
        <v>0</v>
      </c>
      <c r="V35" s="119" t="e">
        <f aca="false">IF(U35="nd","-",U35/$U$24)</f>
        <v>#DIV/0!</v>
      </c>
      <c r="W35" s="121" t="str">
        <f aca="false">IF(R35=0,"nd",(IF(U35=0,"nd",U35/R35)))</f>
        <v>nd</v>
      </c>
      <c r="X35" s="63"/>
      <c r="Z35" s="129"/>
    </row>
    <row r="36" customFormat="false" ht="13.5" hidden="false" customHeight="true" outlineLevel="0" collapsed="false">
      <c r="A36" s="128"/>
      <c r="B36" s="115" t="s">
        <v>26</v>
      </c>
      <c r="C36" s="116" t="s">
        <v>34</v>
      </c>
      <c r="D36" s="117" t="n">
        <v>0</v>
      </c>
      <c r="E36" s="117"/>
      <c r="F36" s="118" t="e">
        <f aca="false">IF(D36="nd","-",D36/$D$24)</f>
        <v>#DIV/0!</v>
      </c>
      <c r="G36" s="119"/>
      <c r="H36" s="120" t="n">
        <v>0</v>
      </c>
      <c r="I36" s="120"/>
      <c r="J36" s="119" t="e">
        <f aca="false">IF(H36="nd","-",H36/$H$24)</f>
        <v>#DIV/0!</v>
      </c>
      <c r="K36" s="121" t="str">
        <f aca="false">IF(D36=0,"nd",(IF(H36=0,"nd",H36/D36)))</f>
        <v>nd</v>
      </c>
      <c r="L36" s="117" t="n">
        <v>0</v>
      </c>
      <c r="M36" s="119" t="e">
        <f aca="false">IF(L36="nd","-",L36/$L$24)</f>
        <v>#DIV/0!</v>
      </c>
      <c r="N36" s="121" t="str">
        <f aca="false">IF(H36=0,"nd",(IF(L36=0,"nd",L36/H36)))</f>
        <v>nd</v>
      </c>
      <c r="O36" s="120" t="n">
        <v>0</v>
      </c>
      <c r="P36" s="119" t="e">
        <f aca="false">IF(O36="nd","-",O36/$O$24)</f>
        <v>#DIV/0!</v>
      </c>
      <c r="Q36" s="121" t="str">
        <f aca="false">IF(L36=0,"nd",(IF(O36=0,"nd",O36/L36)))</f>
        <v>nd</v>
      </c>
      <c r="R36" s="117" t="n">
        <v>0</v>
      </c>
      <c r="S36" s="119" t="e">
        <f aca="false">IF(R36="nd","-",R36/$R$24)</f>
        <v>#DIV/0!</v>
      </c>
      <c r="T36" s="121" t="str">
        <f aca="false">IF(O36=0,"nd",(IF(R36=0,"nd",R36/O36)))</f>
        <v>nd</v>
      </c>
      <c r="U36" s="117" t="n">
        <v>0</v>
      </c>
      <c r="V36" s="119" t="e">
        <f aca="false">IF(U36="nd","-",U36/$U$24)</f>
        <v>#DIV/0!</v>
      </c>
      <c r="W36" s="121" t="str">
        <f aca="false">IF(R36=0,"nd",(IF(U36=0,"nd",U36/R36)))</f>
        <v>nd</v>
      </c>
      <c r="X36" s="63"/>
    </row>
    <row r="37" customFormat="false" ht="13.5" hidden="false" customHeight="true" outlineLevel="0" collapsed="false">
      <c r="A37" s="128"/>
      <c r="B37" s="115" t="s">
        <v>26</v>
      </c>
      <c r="C37" s="116" t="s">
        <v>35</v>
      </c>
      <c r="D37" s="117" t="n">
        <v>0</v>
      </c>
      <c r="E37" s="117"/>
      <c r="F37" s="118" t="e">
        <f aca="false">IF(D37="nd","-",D37/$D$24)</f>
        <v>#DIV/0!</v>
      </c>
      <c r="G37" s="119"/>
      <c r="H37" s="120" t="n">
        <v>0</v>
      </c>
      <c r="I37" s="120"/>
      <c r="J37" s="119" t="e">
        <f aca="false">IF(H37="nd","-",H37/$H$24)</f>
        <v>#DIV/0!</v>
      </c>
      <c r="K37" s="121" t="str">
        <f aca="false">IF(D37=0,"nd",(IF(H37=0,"nd",H37/D37)))</f>
        <v>nd</v>
      </c>
      <c r="L37" s="117" t="n">
        <v>0</v>
      </c>
      <c r="M37" s="119" t="e">
        <f aca="false">IF(L37="nd","-",L37/$L$24)</f>
        <v>#DIV/0!</v>
      </c>
      <c r="N37" s="121" t="str">
        <f aca="false">IF(H37=0,"nd",(IF(L37=0,"nd",L37/H37)))</f>
        <v>nd</v>
      </c>
      <c r="O37" s="120" t="n">
        <v>0</v>
      </c>
      <c r="P37" s="119" t="e">
        <f aca="false">IF(O37="nd","-",O37/$O$24)</f>
        <v>#DIV/0!</v>
      </c>
      <c r="Q37" s="121" t="str">
        <f aca="false">IF(L37=0,"nd",(IF(O37=0,"nd",O37/L37)))</f>
        <v>nd</v>
      </c>
      <c r="R37" s="117" t="n">
        <v>0</v>
      </c>
      <c r="S37" s="119" t="e">
        <f aca="false">IF(R37="nd","-",R37/$R$24)</f>
        <v>#DIV/0!</v>
      </c>
      <c r="T37" s="121" t="str">
        <f aca="false">IF(O37=0,"nd",(IF(R37=0,"nd",R37/O37)))</f>
        <v>nd</v>
      </c>
      <c r="U37" s="117" t="n">
        <v>0</v>
      </c>
      <c r="V37" s="119" t="e">
        <f aca="false">IF(U37="nd","-",U37/$U$24)</f>
        <v>#DIV/0!</v>
      </c>
      <c r="W37" s="121" t="str">
        <f aca="false">IF(R37=0,"nd",(IF(U37=0,"nd",U37/R37)))</f>
        <v>nd</v>
      </c>
      <c r="X37" s="63"/>
    </row>
    <row r="38" customFormat="false" ht="13.5" hidden="false" customHeight="true" outlineLevel="0" collapsed="false">
      <c r="A38" s="128"/>
      <c r="B38" s="115" t="s">
        <v>26</v>
      </c>
      <c r="C38" s="116" t="s">
        <v>36</v>
      </c>
      <c r="D38" s="117" t="n">
        <v>0</v>
      </c>
      <c r="E38" s="117"/>
      <c r="F38" s="118" t="e">
        <f aca="false">IF(D38="nd","-",D38/$D$24)</f>
        <v>#DIV/0!</v>
      </c>
      <c r="G38" s="119"/>
      <c r="H38" s="120" t="n">
        <v>0</v>
      </c>
      <c r="I38" s="120"/>
      <c r="J38" s="119" t="e">
        <f aca="false">IF(H38="nd","-",H38/$H$24)</f>
        <v>#DIV/0!</v>
      </c>
      <c r="K38" s="121" t="str">
        <f aca="false">IF(D38=0,"nd",(IF(H38=0,"nd",H38/D38)))</f>
        <v>nd</v>
      </c>
      <c r="L38" s="117" t="n">
        <v>0</v>
      </c>
      <c r="M38" s="119" t="e">
        <f aca="false">IF(L38="nd","-",L38/$L$24)</f>
        <v>#DIV/0!</v>
      </c>
      <c r="N38" s="121" t="str">
        <f aca="false">IF(H38=0,"nd",(IF(L38=0,"nd",L38/H38)))</f>
        <v>nd</v>
      </c>
      <c r="O38" s="120" t="n">
        <v>0</v>
      </c>
      <c r="P38" s="119" t="e">
        <f aca="false">IF(O38="nd","-",O38/$O$24)</f>
        <v>#DIV/0!</v>
      </c>
      <c r="Q38" s="121" t="str">
        <f aca="false">IF(L38=0,"nd",(IF(O38=0,"nd",O38/L38)))</f>
        <v>nd</v>
      </c>
      <c r="R38" s="117" t="n">
        <v>0</v>
      </c>
      <c r="S38" s="119" t="e">
        <f aca="false">IF(R38="nd","-",R38/$R$24)</f>
        <v>#DIV/0!</v>
      </c>
      <c r="T38" s="121" t="str">
        <f aca="false">IF(O38=0,"nd",(IF(R38=0,"nd",R38/O38)))</f>
        <v>nd</v>
      </c>
      <c r="U38" s="117" t="n">
        <v>0</v>
      </c>
      <c r="V38" s="119" t="e">
        <f aca="false">IF(U38="nd","-",U38/$U$24)</f>
        <v>#DIV/0!</v>
      </c>
      <c r="W38" s="121" t="str">
        <f aca="false">IF(R38=0,"nd",(IF(U38=0,"nd",U38/R38)))</f>
        <v>nd</v>
      </c>
      <c r="X38" s="63"/>
    </row>
    <row r="39" customFormat="false" ht="13.5" hidden="false" customHeight="true" outlineLevel="0" collapsed="false">
      <c r="A39" s="128"/>
      <c r="B39" s="115" t="s">
        <v>26</v>
      </c>
      <c r="C39" s="116" t="s">
        <v>37</v>
      </c>
      <c r="D39" s="117" t="n">
        <v>0</v>
      </c>
      <c r="E39" s="117"/>
      <c r="F39" s="118" t="e">
        <f aca="false">IF(D39="nd","-",D39/$D$24)</f>
        <v>#DIV/0!</v>
      </c>
      <c r="G39" s="119"/>
      <c r="H39" s="120" t="n">
        <v>0</v>
      </c>
      <c r="I39" s="120"/>
      <c r="J39" s="119" t="e">
        <f aca="false">IF(H39="nd","-",H39/$H$24)</f>
        <v>#DIV/0!</v>
      </c>
      <c r="K39" s="121" t="str">
        <f aca="false">IF(D39=0,"nd",(IF(H39=0,"nd",H39/D39)))</f>
        <v>nd</v>
      </c>
      <c r="L39" s="117" t="n">
        <v>0</v>
      </c>
      <c r="M39" s="119" t="e">
        <f aca="false">IF(L39="nd","-",L39/$L$24)</f>
        <v>#DIV/0!</v>
      </c>
      <c r="N39" s="121" t="str">
        <f aca="false">IF(H39=0,"nd",(IF(L39=0,"nd",L39/H39)))</f>
        <v>nd</v>
      </c>
      <c r="O39" s="120" t="n">
        <v>0</v>
      </c>
      <c r="P39" s="119" t="e">
        <f aca="false">IF(O39="nd","-",O39/$O$24)</f>
        <v>#DIV/0!</v>
      </c>
      <c r="Q39" s="121" t="str">
        <f aca="false">IF(L39=0,"nd",(IF(O39=0,"nd",O39/L39)))</f>
        <v>nd</v>
      </c>
      <c r="R39" s="117" t="n">
        <v>0</v>
      </c>
      <c r="S39" s="119" t="e">
        <f aca="false">IF(R39="nd","-",R39/$R$24)</f>
        <v>#DIV/0!</v>
      </c>
      <c r="T39" s="121" t="str">
        <f aca="false">IF(O39=0,"nd",(IF(R39=0,"nd",R39/O39)))</f>
        <v>nd</v>
      </c>
      <c r="U39" s="117" t="n">
        <v>0</v>
      </c>
      <c r="V39" s="119" t="e">
        <f aca="false">IF(U39="nd","-",U39/$U$24)</f>
        <v>#DIV/0!</v>
      </c>
      <c r="W39" s="121" t="str">
        <f aca="false">IF(R39=0,"nd",(IF(U39=0,"nd",U39/R39)))</f>
        <v>nd</v>
      </c>
      <c r="X39" s="63"/>
    </row>
    <row r="40" customFormat="false" ht="13.5" hidden="false" customHeight="true" outlineLevel="0" collapsed="false">
      <c r="B40" s="54" t="s">
        <v>38</v>
      </c>
      <c r="C40" s="85"/>
      <c r="D40" s="130" t="n">
        <v>0</v>
      </c>
      <c r="E40" s="130"/>
      <c r="F40" s="126" t="e">
        <f aca="false">D40/$D$24</f>
        <v>#DIV/0!</v>
      </c>
      <c r="G40" s="131"/>
      <c r="H40" s="127" t="n">
        <v>0</v>
      </c>
      <c r="I40" s="127"/>
      <c r="J40" s="126" t="e">
        <f aca="false">H40/$H$24</f>
        <v>#DIV/0!</v>
      </c>
      <c r="K40" s="62" t="str">
        <f aca="false">IF(D40=0,"nd",(IF(H40=0,"nd",H40/D40)))</f>
        <v>nd</v>
      </c>
      <c r="L40" s="61" t="n">
        <v>0</v>
      </c>
      <c r="M40" s="126" t="e">
        <f aca="false">L40/$L$24</f>
        <v>#DIV/0!</v>
      </c>
      <c r="N40" s="62" t="str">
        <f aca="false">IF(H40=0,"nd",(IF(L40=0,"nd",L40/H40)))</f>
        <v>nd</v>
      </c>
      <c r="O40" s="127" t="n">
        <v>0</v>
      </c>
      <c r="P40" s="126" t="e">
        <f aca="false">O40/$O$24</f>
        <v>#DIV/0!</v>
      </c>
      <c r="Q40" s="62" t="str">
        <f aca="false">IF(L40=0,"nd",(IF(O40=0,"nd",O40/L40)))</f>
        <v>nd</v>
      </c>
      <c r="R40" s="124" t="n">
        <v>0</v>
      </c>
      <c r="S40" s="126" t="e">
        <f aca="false">R40/$R$24</f>
        <v>#DIV/0!</v>
      </c>
      <c r="T40" s="121" t="str">
        <f aca="false">IF(O40=0,"nd",(IF(R40=0,"nd",R40/O40)))</f>
        <v>nd</v>
      </c>
      <c r="U40" s="124" t="n">
        <v>0</v>
      </c>
      <c r="V40" s="126" t="e">
        <f aca="false">U40/$U$24</f>
        <v>#DIV/0!</v>
      </c>
      <c r="W40" s="121" t="str">
        <f aca="false">IF(R40=0,"nd",(IF(U40=0,"nd",U40/R40)))</f>
        <v>nd</v>
      </c>
      <c r="X40" s="63"/>
    </row>
    <row r="41" customFormat="false" ht="12.75" hidden="false" customHeight="true" outlineLevel="0" collapsed="false">
      <c r="B41" s="132" t="s">
        <v>39</v>
      </c>
      <c r="C41" s="133"/>
      <c r="D41" s="134" t="n">
        <f aca="false">SUM(D42:E44)</f>
        <v>0</v>
      </c>
      <c r="E41" s="134"/>
      <c r="F41" s="119" t="e">
        <f aca="false">D41/$D$24</f>
        <v>#DIV/0!</v>
      </c>
      <c r="G41" s="135"/>
      <c r="H41" s="136" t="n">
        <f aca="false">SUM(H42:I44)</f>
        <v>0</v>
      </c>
      <c r="I41" s="136"/>
      <c r="J41" s="119" t="e">
        <f aca="false">H41/$H$24</f>
        <v>#DIV/0!</v>
      </c>
      <c r="K41" s="121" t="str">
        <f aca="false">IF(D41=0,"nd",(IF(H41=0,"nd",H41/D41)))</f>
        <v>nd</v>
      </c>
      <c r="L41" s="137" t="n">
        <f aca="false">SUM(L42:L44)</f>
        <v>0</v>
      </c>
      <c r="M41" s="119" t="e">
        <f aca="false">L41/$L$24</f>
        <v>#DIV/0!</v>
      </c>
      <c r="N41" s="121" t="str">
        <f aca="false">IF(H41=0,"nd",(IF(L41=0,"nd",L41/H41)))</f>
        <v>nd</v>
      </c>
      <c r="O41" s="136" t="n">
        <f aca="false">SUM(O42:O44)</f>
        <v>0</v>
      </c>
      <c r="P41" s="119" t="e">
        <f aca="false">O41/$O$24</f>
        <v>#DIV/0!</v>
      </c>
      <c r="Q41" s="121" t="str">
        <f aca="false">IF(L41=0,"nd",(IF(O41=0,"nd",O41/L41)))</f>
        <v>nd</v>
      </c>
      <c r="R41" s="137" t="n">
        <f aca="false">SUM(R42:R44)</f>
        <v>0</v>
      </c>
      <c r="S41" s="119" t="e">
        <f aca="false">R41/$R$24</f>
        <v>#DIV/0!</v>
      </c>
      <c r="T41" s="121" t="str">
        <f aca="false">IF(O41=0,"nd",(IF(R41=0,"nd",R41/O41)))</f>
        <v>nd</v>
      </c>
      <c r="U41" s="137" t="n">
        <f aca="false">SUM(U42:U44)</f>
        <v>0</v>
      </c>
      <c r="V41" s="119" t="e">
        <f aca="false">U41/$U$24</f>
        <v>#DIV/0!</v>
      </c>
      <c r="W41" s="121" t="str">
        <f aca="false">IF(R41=0,"nd",(IF(U41=0,"nd",U41/R41)))</f>
        <v>nd</v>
      </c>
      <c r="X41" s="138"/>
    </row>
    <row r="42" customFormat="false" ht="13.5" hidden="false" customHeight="true" outlineLevel="0" collapsed="false">
      <c r="B42" s="115" t="s">
        <v>26</v>
      </c>
      <c r="C42" s="139" t="s">
        <v>40</v>
      </c>
      <c r="D42" s="140" t="n">
        <v>0</v>
      </c>
      <c r="E42" s="140"/>
      <c r="F42" s="119" t="e">
        <f aca="false">IF(D42="nd","-",D42/$D$24)</f>
        <v>#DIV/0!</v>
      </c>
      <c r="G42" s="141"/>
      <c r="H42" s="120" t="n">
        <v>0</v>
      </c>
      <c r="I42" s="120"/>
      <c r="J42" s="119" t="e">
        <f aca="false">IF(H42="nd","-",H42/$H$24)</f>
        <v>#DIV/0!</v>
      </c>
      <c r="K42" s="142" t="str">
        <f aca="false">IF(D42=0,"nd",(IF(H42=0,"nd",H42/D42)))</f>
        <v>nd</v>
      </c>
      <c r="L42" s="117" t="n">
        <v>0</v>
      </c>
      <c r="M42" s="119" t="e">
        <f aca="false">IF(L42="nd","-",L42/$L$24)</f>
        <v>#DIV/0!</v>
      </c>
      <c r="N42" s="142" t="str">
        <f aca="false">IF(H42=0,"nd",(IF(L42=0,"nd",L42/H42)))</f>
        <v>nd</v>
      </c>
      <c r="O42" s="120" t="n">
        <v>0</v>
      </c>
      <c r="P42" s="119" t="e">
        <f aca="false">IF(O42="nd","-",O42/$O$24)</f>
        <v>#DIV/0!</v>
      </c>
      <c r="Q42" s="142" t="str">
        <f aca="false">IF(L42=0,"nd",(IF(O42=0,"nd",O42/L42)))</f>
        <v>nd</v>
      </c>
      <c r="R42" s="117" t="n">
        <v>0</v>
      </c>
      <c r="S42" s="119" t="e">
        <f aca="false">IF(R42="nd","-",R42/$R$24)</f>
        <v>#DIV/0!</v>
      </c>
      <c r="T42" s="142" t="str">
        <f aca="false">IF(O42=0,"nd",(IF(R42=0,"nd",R42/O42)))</f>
        <v>nd</v>
      </c>
      <c r="U42" s="117" t="n">
        <v>0</v>
      </c>
      <c r="V42" s="119" t="e">
        <f aca="false">IF(U42="nd","-",U42/$U$24)</f>
        <v>#DIV/0!</v>
      </c>
      <c r="W42" s="142" t="str">
        <f aca="false">IF(R42=0,"nd",(IF(U42=0,"nd",U42/R42)))</f>
        <v>nd</v>
      </c>
    </row>
    <row r="43" customFormat="false" ht="13.5" hidden="false" customHeight="true" outlineLevel="0" collapsed="false">
      <c r="B43" s="115" t="s">
        <v>26</v>
      </c>
      <c r="C43" s="139" t="s">
        <v>41</v>
      </c>
      <c r="D43" s="140" t="n">
        <v>0</v>
      </c>
      <c r="E43" s="140"/>
      <c r="F43" s="119" t="e">
        <f aca="false">IF(D43="nd","-",D43/$D$24)</f>
        <v>#DIV/0!</v>
      </c>
      <c r="H43" s="120" t="n">
        <v>0</v>
      </c>
      <c r="I43" s="120"/>
      <c r="J43" s="119" t="e">
        <f aca="false">IF(H43="nd","-",H43/$H$24)</f>
        <v>#DIV/0!</v>
      </c>
      <c r="K43" s="142" t="str">
        <f aca="false">IF(D43=0,"nd",(IF(H43=0,"nd",H43/D43)))</f>
        <v>nd</v>
      </c>
      <c r="L43" s="117" t="n">
        <v>0</v>
      </c>
      <c r="M43" s="119" t="e">
        <f aca="false">IF(L43="nd","-",L43/$L$24)</f>
        <v>#DIV/0!</v>
      </c>
      <c r="N43" s="142" t="str">
        <f aca="false">IF(H43=0,"nd",(IF(L43=0,"nd",L43/H43)))</f>
        <v>nd</v>
      </c>
      <c r="O43" s="120" t="n">
        <v>0</v>
      </c>
      <c r="P43" s="119" t="e">
        <f aca="false">IF(O43="nd","-",O43/$O$24)</f>
        <v>#DIV/0!</v>
      </c>
      <c r="Q43" s="142" t="str">
        <f aca="false">IF(L43=0,"nd",(IF(O43=0,"nd",O43/L43)))</f>
        <v>nd</v>
      </c>
      <c r="R43" s="117" t="n">
        <v>0</v>
      </c>
      <c r="S43" s="119" t="e">
        <f aca="false">IF(R43="nd","-",R43/$R$24)</f>
        <v>#DIV/0!</v>
      </c>
      <c r="T43" s="142" t="str">
        <f aca="false">IF(O43=0,"nd",(IF(R43=0,"nd",R43/O43)))</f>
        <v>nd</v>
      </c>
      <c r="U43" s="117" t="n">
        <v>0</v>
      </c>
      <c r="V43" s="119" t="e">
        <f aca="false">IF(U43="nd","-",U43/$U$24)</f>
        <v>#DIV/0!</v>
      </c>
      <c r="W43" s="142" t="str">
        <f aca="false">IF(R43=0,"nd",(IF(U43=0,"nd",U43/R43)))</f>
        <v>nd</v>
      </c>
      <c r="X43" s="143"/>
    </row>
    <row r="44" customFormat="false" ht="13.5" hidden="false" customHeight="true" outlineLevel="0" collapsed="false">
      <c r="B44" s="122" t="s">
        <v>26</v>
      </c>
      <c r="C44" s="144" t="s">
        <v>42</v>
      </c>
      <c r="D44" s="130" t="n">
        <v>0</v>
      </c>
      <c r="E44" s="130"/>
      <c r="F44" s="126" t="e">
        <f aca="false">IF(D44="nd","-",D44/$D$24)</f>
        <v>#DIV/0!</v>
      </c>
      <c r="G44" s="3"/>
      <c r="H44" s="120" t="n">
        <v>0</v>
      </c>
      <c r="I44" s="120"/>
      <c r="J44" s="126" t="e">
        <f aca="false">IF(H44="nd","-",H44/$H$24)</f>
        <v>#DIV/0!</v>
      </c>
      <c r="K44" s="142" t="str">
        <f aca="false">IF(D44=0,"nd",(IF(H44=0,"nd",H44/D44)))</f>
        <v>nd</v>
      </c>
      <c r="L44" s="117" t="n">
        <v>0</v>
      </c>
      <c r="M44" s="126" t="e">
        <f aca="false">IF(L44="nd","-",L44/$L$24)</f>
        <v>#DIV/0!</v>
      </c>
      <c r="N44" s="142" t="str">
        <f aca="false">IF(H44=0,"nd",(IF(L44=0,"nd",L44/H44)))</f>
        <v>nd</v>
      </c>
      <c r="O44" s="120" t="n">
        <v>0</v>
      </c>
      <c r="P44" s="126" t="e">
        <f aca="false">IF(O44="nd","-",O44/$O$24)</f>
        <v>#DIV/0!</v>
      </c>
      <c r="Q44" s="142" t="str">
        <f aca="false">IF(L44=0,"nd",(IF(O44=0,"nd",O44/L44)))</f>
        <v>nd</v>
      </c>
      <c r="R44" s="117" t="n">
        <v>0</v>
      </c>
      <c r="S44" s="126" t="e">
        <f aca="false">IF(R44="nd","-",R44/$R$24)</f>
        <v>#DIV/0!</v>
      </c>
      <c r="T44" s="142" t="str">
        <f aca="false">IF(O44=0,"nd",(IF(R44=0,"nd",R44/O44)))</f>
        <v>nd</v>
      </c>
      <c r="U44" s="117" t="n">
        <v>0</v>
      </c>
      <c r="V44" s="119" t="e">
        <f aca="false">IF(U44="nd","-",U44/$U$24)</f>
        <v>#DIV/0!</v>
      </c>
      <c r="W44" s="142" t="str">
        <f aca="false">IF(R44=0,"nd",(IF(U44=0,"nd",U44/R44)))</f>
        <v>nd</v>
      </c>
    </row>
    <row r="45" customFormat="false" ht="13.5" hidden="false" customHeight="true" outlineLevel="0" collapsed="false">
      <c r="B45" s="54" t="s">
        <v>43</v>
      </c>
      <c r="C45" s="145"/>
      <c r="D45" s="146" t="n">
        <v>0</v>
      </c>
      <c r="E45" s="146"/>
      <c r="F45" s="147" t="e">
        <f aca="false">D45/$D$24</f>
        <v>#DIV/0!</v>
      </c>
      <c r="G45" s="145"/>
      <c r="H45" s="148" t="n">
        <v>0</v>
      </c>
      <c r="I45" s="148"/>
      <c r="J45" s="147" t="e">
        <f aca="false">H45/$H$24</f>
        <v>#DIV/0!</v>
      </c>
      <c r="K45" s="149" t="str">
        <f aca="false">IF(D45=0,"nd",(IF(H45=0,"nd",H45/D45)))</f>
        <v>nd</v>
      </c>
      <c r="L45" s="61" t="n">
        <v>0</v>
      </c>
      <c r="M45" s="147" t="e">
        <f aca="false">L45/$L$24</f>
        <v>#DIV/0!</v>
      </c>
      <c r="N45" s="149" t="str">
        <f aca="false">IF(H45=0,"nd",(IF(L45=0,"nd",L45/H45)))</f>
        <v>nd</v>
      </c>
      <c r="O45" s="148" t="n">
        <v>0</v>
      </c>
      <c r="P45" s="147" t="e">
        <f aca="false">O45/$O$24</f>
        <v>#DIV/0!</v>
      </c>
      <c r="Q45" s="149" t="str">
        <f aca="false">IF(L45=0,"nd",(IF(O45=0,"nd",O45/L45)))</f>
        <v>nd</v>
      </c>
      <c r="R45" s="61" t="n">
        <v>0</v>
      </c>
      <c r="S45" s="147" t="e">
        <f aca="false">R45/$R$24</f>
        <v>#DIV/0!</v>
      </c>
      <c r="T45" s="142" t="str">
        <f aca="false">IF(O45=0,"nd",(IF(R45=0,"nd",R45/O45)))</f>
        <v>nd</v>
      </c>
      <c r="U45" s="61" t="n">
        <v>0</v>
      </c>
      <c r="V45" s="147" t="e">
        <f aca="false">U45/$U$24</f>
        <v>#DIV/0!</v>
      </c>
      <c r="W45" s="142" t="str">
        <f aca="false">IF(R45=0,"nd",(IF(U45=0,"nd",U45/R45)))</f>
        <v>nd</v>
      </c>
    </row>
    <row r="46" customFormat="false" ht="13.5" hidden="false" customHeight="true" outlineLevel="0" collapsed="false">
      <c r="B46" s="78" t="s">
        <v>44</v>
      </c>
      <c r="C46" s="78"/>
      <c r="D46" s="146" t="n">
        <v>0</v>
      </c>
      <c r="E46" s="146"/>
      <c r="F46" s="147" t="e">
        <f aca="false">D46/$D$24</f>
        <v>#DIV/0!</v>
      </c>
      <c r="G46" s="150"/>
      <c r="H46" s="127" t="n">
        <v>0</v>
      </c>
      <c r="I46" s="127"/>
      <c r="J46" s="147" t="e">
        <f aca="false">H46/$H$24</f>
        <v>#DIV/0!</v>
      </c>
      <c r="K46" s="151" t="str">
        <f aca="false">IF(D46=0,"nd",(IF(H46=0,"nd",H46/D46)))</f>
        <v>nd</v>
      </c>
      <c r="L46" s="124" t="n">
        <v>0</v>
      </c>
      <c r="M46" s="147" t="e">
        <f aca="false">L46/$L$24</f>
        <v>#DIV/0!</v>
      </c>
      <c r="N46" s="151" t="str">
        <f aca="false">IF(H46=0,"nd",(IF(L46=0,"nd",L46/H46)))</f>
        <v>nd</v>
      </c>
      <c r="O46" s="127" t="n">
        <v>0</v>
      </c>
      <c r="P46" s="147" t="e">
        <f aca="false">O46/$O$24</f>
        <v>#DIV/0!</v>
      </c>
      <c r="Q46" s="151" t="str">
        <f aca="false">IF(L46=0,"nd",(IF(O46=0,"nd",O46/L46)))</f>
        <v>nd</v>
      </c>
      <c r="R46" s="124" t="n">
        <v>0</v>
      </c>
      <c r="S46" s="147" t="e">
        <f aca="false">R46/$R$24</f>
        <v>#DIV/0!</v>
      </c>
      <c r="T46" s="142" t="str">
        <f aca="false">IF(O46=0,"nd",(IF(R46=0,"nd",R46/O46)))</f>
        <v>nd</v>
      </c>
      <c r="U46" s="124" t="n">
        <v>0</v>
      </c>
      <c r="V46" s="147" t="e">
        <f aca="false">U46/$U$24</f>
        <v>#DIV/0!</v>
      </c>
      <c r="W46" s="142" t="str">
        <f aca="false">IF(R46=0,"nd",(IF(U46=0,"nd",U46/R46)))</f>
        <v>nd</v>
      </c>
      <c r="X46" s="152"/>
    </row>
    <row r="47" customFormat="false" ht="13.5" hidden="false" customHeight="true" outlineLevel="0" collapsed="false">
      <c r="B47" s="84" t="s">
        <v>45</v>
      </c>
      <c r="C47" s="153"/>
      <c r="D47" s="154" t="n">
        <v>0</v>
      </c>
      <c r="E47" s="154"/>
      <c r="F47" s="131" t="e">
        <f aca="false">D47/$D$24</f>
        <v>#DIV/0!</v>
      </c>
      <c r="G47" s="155"/>
      <c r="H47" s="156" t="n">
        <v>0</v>
      </c>
      <c r="I47" s="156"/>
      <c r="J47" s="131" t="e">
        <f aca="false">H47/$H$24</f>
        <v>#DIV/0!</v>
      </c>
      <c r="K47" s="157" t="str">
        <f aca="false">IF(D47=0,"nd",(IF(H47=0,"nd",H47/D47)))</f>
        <v>nd</v>
      </c>
      <c r="L47" s="158" t="n">
        <v>0</v>
      </c>
      <c r="M47" s="131" t="e">
        <f aca="false">L47/$L$24</f>
        <v>#DIV/0!</v>
      </c>
      <c r="N47" s="157" t="str">
        <f aca="false">IF(H47=0,"nd",(IF(L47=0,"nd",L47/H47)))</f>
        <v>nd</v>
      </c>
      <c r="O47" s="156" t="n">
        <v>0</v>
      </c>
      <c r="P47" s="131" t="e">
        <f aca="false">O47/$O$24</f>
        <v>#DIV/0!</v>
      </c>
      <c r="Q47" s="157" t="str">
        <f aca="false">IF(L47=0,"nd",(IF(O47=0,"nd",O47/L47)))</f>
        <v>nd</v>
      </c>
      <c r="R47" s="158" t="n">
        <v>0</v>
      </c>
      <c r="S47" s="131" t="e">
        <f aca="false">R47/$R$24</f>
        <v>#DIV/0!</v>
      </c>
      <c r="T47" s="157" t="str">
        <f aca="false">IF(O47=0,"nd",(IF(R47=0,"nd",R47/O47)))</f>
        <v>nd</v>
      </c>
      <c r="U47" s="158" t="n">
        <v>0</v>
      </c>
      <c r="V47" s="147" t="e">
        <f aca="false">U47/$U$24</f>
        <v>#DIV/0!</v>
      </c>
      <c r="W47" s="157" t="str">
        <f aca="false">IF(R47=0,"nd",(IF(U47=0,"nd",U47/R47)))</f>
        <v>nd</v>
      </c>
    </row>
    <row r="48" customFormat="false" ht="13.5" hidden="false" customHeight="true" outlineLevel="0" collapsed="false">
      <c r="B48" s="11"/>
      <c r="C48" s="133" t="s">
        <v>46</v>
      </c>
      <c r="D48" s="159" t="n">
        <f aca="false">D28+D40+D41+D45+D46+D47</f>
        <v>0</v>
      </c>
      <c r="E48" s="159"/>
      <c r="F48" s="135" t="e">
        <f aca="false">D48/D24</f>
        <v>#DIV/0!</v>
      </c>
      <c r="G48" s="160"/>
      <c r="H48" s="161" t="n">
        <f aca="false">H28+H40+H41+H45+H46+H47</f>
        <v>0</v>
      </c>
      <c r="I48" s="161"/>
      <c r="J48" s="135" t="e">
        <f aca="false">H48/H24</f>
        <v>#DIV/0!</v>
      </c>
      <c r="K48" s="162" t="str">
        <f aca="false">IF(D48=0,"nd",(IF(H48=0,"nd",H48/D48)))</f>
        <v>nd</v>
      </c>
      <c r="L48" s="163" t="n">
        <f aca="false">L28+L40+L41+L45+L46+L47</f>
        <v>0</v>
      </c>
      <c r="M48" s="135" t="e">
        <f aca="false">L48/L24</f>
        <v>#DIV/0!</v>
      </c>
      <c r="N48" s="162" t="str">
        <f aca="false">IF(H48=0,"nd",(IF(L48=0,"nd",L48/H48)))</f>
        <v>nd</v>
      </c>
      <c r="O48" s="161" t="n">
        <f aca="false">O28+O40+O41+O45+O46+O47</f>
        <v>0</v>
      </c>
      <c r="P48" s="135" t="e">
        <f aca="false">O48/O24</f>
        <v>#DIV/0!</v>
      </c>
      <c r="Q48" s="162" t="str">
        <f aca="false">IF(L48=0,"nd",(IF(O48=0,"nd",O48/L48)))</f>
        <v>nd</v>
      </c>
      <c r="R48" s="163" t="n">
        <f aca="false">R28+R40+R41+R45+R46+R47</f>
        <v>0</v>
      </c>
      <c r="S48" s="135" t="e">
        <f aca="false">R48/R24</f>
        <v>#DIV/0!</v>
      </c>
      <c r="T48" s="162" t="str">
        <f aca="false">IF(O48=0,"nd",(IF(R48=0,"nd",R48/O48)))</f>
        <v>nd</v>
      </c>
      <c r="U48" s="163" t="n">
        <f aca="false">U28+U40+U41+U45+U46+U47</f>
        <v>0</v>
      </c>
      <c r="V48" s="135" t="e">
        <f aca="false">U48/U24</f>
        <v>#DIV/0!</v>
      </c>
      <c r="W48" s="162" t="str">
        <f aca="false">IF(R48=0,"nd",(IF(U48=0,"nd",U48/R48)))</f>
        <v>nd</v>
      </c>
    </row>
    <row r="49" customFormat="false" ht="9" hidden="false" customHeight="true" outlineLevel="0" collapsed="false">
      <c r="B49" s="164"/>
      <c r="T49" s="6"/>
      <c r="U49" s="6"/>
      <c r="V49" s="6"/>
      <c r="W49" s="6"/>
    </row>
    <row r="50" customFormat="false" ht="29.25" hidden="false" customHeight="true" outlineLevel="0" collapsed="false">
      <c r="B50" s="165" t="s">
        <v>47</v>
      </c>
      <c r="C50" s="165"/>
      <c r="D50" s="165"/>
      <c r="E50" s="165"/>
      <c r="F50" s="165"/>
      <c r="G50" s="165"/>
      <c r="H50" s="165"/>
      <c r="I50" s="165"/>
      <c r="J50" s="165"/>
      <c r="K50" s="165"/>
      <c r="L50" s="165"/>
      <c r="M50" s="165"/>
      <c r="N50" s="165"/>
      <c r="O50" s="165"/>
      <c r="P50" s="165"/>
      <c r="Q50" s="165"/>
      <c r="R50" s="165"/>
      <c r="S50" s="165"/>
    </row>
    <row r="51" customFormat="false" ht="9" hidden="false" customHeight="true" outlineLevel="0" collapsed="false">
      <c r="B51" s="153"/>
      <c r="C51" s="166"/>
      <c r="D51" s="167"/>
      <c r="F51" s="155"/>
      <c r="G51" s="155"/>
      <c r="H51" s="168"/>
      <c r="M51" s="65"/>
      <c r="N51" s="65"/>
      <c r="T51" s="65"/>
      <c r="W51" s="65"/>
    </row>
    <row r="52" customFormat="false" ht="6" hidden="false" customHeight="true" outlineLevel="0" collapsed="false">
      <c r="B52" s="169"/>
      <c r="D52" s="170"/>
      <c r="F52" s="170"/>
      <c r="G52" s="171"/>
      <c r="H52" s="172"/>
      <c r="K52" s="173"/>
      <c r="L52" s="174"/>
      <c r="N52" s="170"/>
      <c r="O52" s="172"/>
      <c r="Q52" s="175"/>
      <c r="R52" s="174"/>
      <c r="T52" s="176"/>
      <c r="U52" s="174"/>
      <c r="W52" s="176"/>
      <c r="X52" s="177"/>
      <c r="Y52" s="160"/>
      <c r="Z52" s="160"/>
    </row>
    <row r="53" customFormat="false" ht="12.75" hidden="false" customHeight="true" outlineLevel="0" collapsed="false">
      <c r="B53" s="178" t="s">
        <v>48</v>
      </c>
      <c r="C53" s="178"/>
      <c r="D53" s="179" t="n">
        <f aca="false">D24-D48</f>
        <v>0</v>
      </c>
      <c r="E53" s="179"/>
      <c r="F53" s="150" t="e">
        <f aca="false">D53/D24</f>
        <v>#DIV/0!</v>
      </c>
      <c r="G53" s="180"/>
      <c r="H53" s="181" t="n">
        <f aca="false">H24-H48</f>
        <v>0</v>
      </c>
      <c r="I53" s="181"/>
      <c r="J53" s="152" t="e">
        <f aca="false">H53/H24</f>
        <v>#DIV/0!</v>
      </c>
      <c r="K53" s="182"/>
      <c r="L53" s="179" t="n">
        <f aca="false">L24-L48</f>
        <v>0</v>
      </c>
      <c r="M53" s="150" t="e">
        <f aca="false">L53/L24</f>
        <v>#DIV/0!</v>
      </c>
      <c r="N53" s="170"/>
      <c r="O53" s="181" t="n">
        <f aca="false">O24-O48</f>
        <v>0</v>
      </c>
      <c r="P53" s="152" t="e">
        <f aca="false">O53/O24</f>
        <v>#DIV/0!</v>
      </c>
      <c r="Q53" s="183"/>
      <c r="R53" s="179" t="n">
        <f aca="false">R24-R48</f>
        <v>0</v>
      </c>
      <c r="S53" s="150" t="e">
        <f aca="false">R53/R24</f>
        <v>#DIV/0!</v>
      </c>
      <c r="T53" s="176"/>
      <c r="U53" s="179" t="n">
        <f aca="false">U24-U48</f>
        <v>0</v>
      </c>
      <c r="V53" s="150" t="e">
        <f aca="false">U53/U24</f>
        <v>#DIV/0!</v>
      </c>
      <c r="W53" s="176"/>
      <c r="X53" s="177"/>
      <c r="Y53" s="160"/>
      <c r="Z53" s="160"/>
    </row>
    <row r="54" customFormat="false" ht="6" hidden="false" customHeight="true" outlineLevel="0" collapsed="false">
      <c r="B54" s="169"/>
      <c r="D54" s="170"/>
      <c r="F54" s="170"/>
      <c r="G54" s="180"/>
      <c r="H54" s="184"/>
      <c r="K54" s="182"/>
      <c r="L54" s="185"/>
      <c r="N54" s="170"/>
      <c r="O54" s="184"/>
      <c r="Q54" s="183"/>
      <c r="R54" s="185"/>
      <c r="T54" s="176"/>
      <c r="U54" s="185"/>
      <c r="W54" s="176"/>
      <c r="X54" s="177"/>
      <c r="Y54" s="160"/>
      <c r="Z54" s="160"/>
    </row>
    <row r="55" customFormat="false" ht="9" hidden="false" customHeight="true" outlineLevel="0" collapsed="false">
      <c r="B55" s="186"/>
      <c r="D55" s="170"/>
      <c r="F55" s="170"/>
      <c r="G55" s="180"/>
      <c r="H55" s="184"/>
      <c r="K55" s="187"/>
      <c r="L55" s="185"/>
      <c r="N55" s="170"/>
      <c r="O55" s="184"/>
      <c r="Q55" s="188"/>
      <c r="R55" s="185"/>
      <c r="T55" s="176"/>
      <c r="U55" s="185"/>
      <c r="W55" s="176"/>
      <c r="X55" s="189"/>
      <c r="Y55" s="160"/>
      <c r="Z55" s="160"/>
    </row>
    <row r="56" customFormat="false" ht="15" hidden="false" customHeight="true" outlineLevel="0" collapsed="false">
      <c r="B56" s="165" t="s">
        <v>49</v>
      </c>
      <c r="C56" s="165"/>
      <c r="D56" s="165"/>
      <c r="E56" s="165"/>
      <c r="F56" s="165"/>
      <c r="G56" s="165"/>
      <c r="H56" s="165"/>
      <c r="I56" s="165"/>
      <c r="J56" s="165"/>
      <c r="K56" s="165"/>
      <c r="L56" s="165"/>
      <c r="M56" s="165"/>
      <c r="N56" s="165"/>
      <c r="O56" s="165"/>
      <c r="P56" s="165"/>
      <c r="Q56" s="165"/>
      <c r="R56" s="165"/>
      <c r="S56" s="165"/>
      <c r="T56" s="176"/>
      <c r="U56" s="185"/>
      <c r="W56" s="176"/>
      <c r="X56" s="177"/>
      <c r="Y56" s="160"/>
      <c r="Z56" s="160"/>
    </row>
    <row r="57" customFormat="false" ht="6.75" hidden="false" customHeight="true" outlineLevel="0" collapsed="false">
      <c r="B57" s="190"/>
      <c r="C57" s="65"/>
      <c r="D57" s="191"/>
      <c r="F57" s="191"/>
      <c r="G57" s="192"/>
      <c r="H57" s="193"/>
      <c r="K57" s="194"/>
      <c r="L57" s="195"/>
      <c r="N57" s="191"/>
      <c r="O57" s="193"/>
      <c r="Q57" s="196"/>
      <c r="R57" s="195"/>
      <c r="T57" s="197"/>
      <c r="U57" s="195"/>
      <c r="W57" s="197"/>
      <c r="X57" s="177"/>
      <c r="Y57" s="160"/>
      <c r="Z57" s="160"/>
    </row>
    <row r="58" customFormat="false" ht="13.5" hidden="false" customHeight="true" outlineLevel="0" collapsed="false">
      <c r="B58" s="153" t="s">
        <v>50</v>
      </c>
      <c r="D58" s="198"/>
      <c r="E58" s="198"/>
      <c r="F58" s="199"/>
      <c r="G58" s="200"/>
      <c r="H58" s="201"/>
      <c r="I58" s="201"/>
      <c r="J58" s="201"/>
      <c r="K58" s="201"/>
      <c r="L58" s="201"/>
      <c r="M58" s="202"/>
      <c r="N58" s="176"/>
      <c r="O58" s="203"/>
      <c r="P58" s="204"/>
      <c r="Q58" s="204"/>
      <c r="R58" s="205"/>
      <c r="S58" s="202"/>
      <c r="T58" s="176"/>
      <c r="U58" s="205"/>
      <c r="V58" s="202"/>
      <c r="W58" s="176"/>
      <c r="X58" s="3"/>
      <c r="Y58" s="160"/>
      <c r="Z58" s="160"/>
    </row>
    <row r="59" customFormat="false" ht="13.5" hidden="false" customHeight="true" outlineLevel="0" collapsed="false">
      <c r="B59" s="169" t="s">
        <v>51</v>
      </c>
      <c r="C59" s="206"/>
      <c r="D59" s="207" t="n">
        <v>0</v>
      </c>
      <c r="E59" s="207"/>
      <c r="F59" s="160"/>
      <c r="G59" s="160"/>
      <c r="H59" s="172" t="n">
        <v>0</v>
      </c>
      <c r="I59" s="172"/>
      <c r="J59" s="172"/>
      <c r="K59" s="160"/>
      <c r="L59" s="174" t="n">
        <v>0</v>
      </c>
      <c r="M59" s="174"/>
      <c r="N59" s="208"/>
      <c r="O59" s="172" t="n">
        <v>0</v>
      </c>
      <c r="P59" s="172"/>
      <c r="R59" s="174" t="n">
        <v>0</v>
      </c>
      <c r="S59" s="174"/>
      <c r="T59" s="208"/>
      <c r="U59" s="174" t="n">
        <v>0</v>
      </c>
      <c r="V59" s="174"/>
      <c r="W59" s="208"/>
    </row>
    <row r="60" customFormat="false" ht="13.5" hidden="false" customHeight="true" outlineLevel="0" collapsed="false">
      <c r="B60" s="169" t="s">
        <v>52</v>
      </c>
      <c r="C60" s="209"/>
      <c r="D60" s="207" t="n">
        <v>0</v>
      </c>
      <c r="E60" s="207"/>
      <c r="F60" s="210"/>
      <c r="G60" s="210"/>
      <c r="H60" s="184" t="n">
        <v>0</v>
      </c>
      <c r="I60" s="184"/>
      <c r="J60" s="184"/>
      <c r="K60" s="210"/>
      <c r="L60" s="185" t="n">
        <v>0</v>
      </c>
      <c r="M60" s="185"/>
      <c r="N60" s="211"/>
      <c r="O60" s="184" t="n">
        <v>0</v>
      </c>
      <c r="P60" s="184"/>
      <c r="Q60" s="212"/>
      <c r="R60" s="185" t="n">
        <v>0</v>
      </c>
      <c r="S60" s="185"/>
      <c r="T60" s="211"/>
      <c r="U60" s="185" t="n">
        <v>0</v>
      </c>
      <c r="V60" s="185"/>
      <c r="W60" s="211"/>
    </row>
    <row r="61" customFormat="false" ht="13.5" hidden="false" customHeight="true" outlineLevel="0" collapsed="false">
      <c r="B61" s="169" t="s">
        <v>53</v>
      </c>
      <c r="C61" s="213"/>
      <c r="D61" s="207" t="n">
        <v>0</v>
      </c>
      <c r="E61" s="207"/>
      <c r="F61" s="176"/>
      <c r="G61" s="214"/>
      <c r="H61" s="184" t="n">
        <v>0</v>
      </c>
      <c r="I61" s="184"/>
      <c r="J61" s="184"/>
      <c r="K61" s="215"/>
      <c r="L61" s="185" t="n">
        <v>0</v>
      </c>
      <c r="M61" s="185"/>
      <c r="N61" s="176"/>
      <c r="O61" s="184" t="n">
        <v>0</v>
      </c>
      <c r="P61" s="184"/>
      <c r="Q61" s="215"/>
      <c r="R61" s="185" t="n">
        <v>0</v>
      </c>
      <c r="S61" s="185"/>
      <c r="T61" s="176"/>
      <c r="U61" s="185" t="n">
        <v>0</v>
      </c>
      <c r="V61" s="185"/>
      <c r="W61" s="176"/>
      <c r="X61" s="160"/>
      <c r="Y61" s="214"/>
      <c r="Z61" s="214"/>
    </row>
    <row r="62" customFormat="false" ht="13.5" hidden="false" customHeight="true" outlineLevel="0" collapsed="false">
      <c r="B62" s="186" t="s">
        <v>54</v>
      </c>
      <c r="C62" s="216"/>
      <c r="D62" s="191" t="n">
        <v>0</v>
      </c>
      <c r="E62" s="191"/>
      <c r="F62" s="65"/>
      <c r="G62" s="65"/>
      <c r="H62" s="193" t="n">
        <v>0</v>
      </c>
      <c r="I62" s="193"/>
      <c r="J62" s="193"/>
      <c r="K62" s="155"/>
      <c r="L62" s="195" t="n">
        <v>0</v>
      </c>
      <c r="M62" s="195"/>
      <c r="N62" s="65"/>
      <c r="O62" s="193" t="n">
        <v>0</v>
      </c>
      <c r="P62" s="193"/>
      <c r="Q62" s="65"/>
      <c r="R62" s="195" t="n">
        <v>0</v>
      </c>
      <c r="S62" s="195"/>
      <c r="T62" s="65"/>
      <c r="U62" s="195" t="n">
        <v>0</v>
      </c>
      <c r="V62" s="195"/>
      <c r="W62" s="65"/>
    </row>
    <row r="63" customFormat="false" ht="13.5" hidden="false" customHeight="true" outlineLevel="0" collapsed="false">
      <c r="B63" s="169" t="s">
        <v>55</v>
      </c>
      <c r="C63" s="213"/>
      <c r="D63" s="207" t="n">
        <v>0</v>
      </c>
      <c r="E63" s="207"/>
      <c r="H63" s="184" t="n">
        <v>0</v>
      </c>
      <c r="I63" s="184"/>
      <c r="J63" s="184"/>
      <c r="K63" s="160"/>
      <c r="L63" s="185" t="n">
        <v>0</v>
      </c>
      <c r="M63" s="185"/>
      <c r="O63" s="184" t="n">
        <v>0</v>
      </c>
      <c r="P63" s="184"/>
      <c r="R63" s="185" t="n">
        <v>0</v>
      </c>
      <c r="S63" s="185"/>
      <c r="U63" s="185" t="n">
        <v>0</v>
      </c>
      <c r="V63" s="185"/>
    </row>
    <row r="64" customFormat="false" ht="13.5" hidden="false" customHeight="true" outlineLevel="0" collapsed="false">
      <c r="B64" s="190" t="s">
        <v>56</v>
      </c>
      <c r="D64" s="191" t="n">
        <v>0</v>
      </c>
      <c r="E64" s="191"/>
      <c r="H64" s="193" t="n">
        <v>0</v>
      </c>
      <c r="I64" s="193"/>
      <c r="J64" s="193"/>
      <c r="L64" s="195" t="n">
        <v>0</v>
      </c>
      <c r="M64" s="195"/>
      <c r="O64" s="193" t="n">
        <v>0</v>
      </c>
      <c r="P64" s="193"/>
      <c r="R64" s="195" t="n">
        <v>0</v>
      </c>
      <c r="S64" s="195"/>
      <c r="T64" s="6"/>
      <c r="U64" s="195" t="n">
        <v>0</v>
      </c>
      <c r="V64" s="195"/>
      <c r="W64" s="6"/>
    </row>
    <row r="65" customFormat="false" ht="13.5" hidden="false" customHeight="true" outlineLevel="0" collapsed="false">
      <c r="B65" s="217" t="s">
        <v>57</v>
      </c>
      <c r="C65" s="217"/>
      <c r="D65" s="218" t="n">
        <f aca="false">SUM(D59:E64)</f>
        <v>0</v>
      </c>
      <c r="E65" s="218"/>
      <c r="F65" s="199" t="e">
        <f aca="false">D65/D24</f>
        <v>#DIV/0!</v>
      </c>
      <c r="G65" s="65"/>
      <c r="H65" s="219" t="n">
        <f aca="false">SUM(H59:I64)</f>
        <v>0</v>
      </c>
      <c r="I65" s="219"/>
      <c r="J65" s="220" t="e">
        <f aca="false">H65/H24</f>
        <v>#DIV/0!</v>
      </c>
      <c r="K65" s="155"/>
      <c r="L65" s="205" t="n">
        <f aca="false">SUM(L59:M64)</f>
        <v>0</v>
      </c>
      <c r="M65" s="202" t="e">
        <f aca="false">L65/L24</f>
        <v>#DIV/0!</v>
      </c>
      <c r="N65" s="65"/>
      <c r="O65" s="203" t="n">
        <f aca="false">SUM(O59:P64)</f>
        <v>0</v>
      </c>
      <c r="P65" s="204" t="e">
        <f aca="false">O65/O24</f>
        <v>#DIV/0!</v>
      </c>
      <c r="Q65" s="221"/>
      <c r="R65" s="205" t="n">
        <f aca="false">SUM(R59:S64)</f>
        <v>0</v>
      </c>
      <c r="S65" s="202" t="e">
        <f aca="false">R65/R24</f>
        <v>#DIV/0!</v>
      </c>
      <c r="T65" s="222"/>
      <c r="U65" s="205" t="n">
        <f aca="false">SUM(U59:V64)</f>
        <v>0</v>
      </c>
      <c r="V65" s="202" t="e">
        <f aca="false">U65/U24</f>
        <v>#DIV/0!</v>
      </c>
      <c r="W65" s="222"/>
      <c r="X65" s="223"/>
    </row>
    <row r="66" s="129" customFormat="true" ht="9" hidden="false" customHeight="true" outlineLevel="0" collapsed="false">
      <c r="D66" s="224"/>
      <c r="E66" s="224"/>
      <c r="F66" s="225"/>
      <c r="G66" s="226"/>
      <c r="H66" s="227"/>
      <c r="J66" s="228"/>
      <c r="K66" s="228"/>
      <c r="L66" s="229"/>
      <c r="N66" s="230"/>
      <c r="O66" s="231"/>
      <c r="Q66" s="228"/>
      <c r="R66" s="232"/>
      <c r="T66" s="233"/>
      <c r="U66" s="232"/>
      <c r="W66" s="233"/>
      <c r="X66" s="234"/>
    </row>
    <row r="67" customFormat="false" ht="6" hidden="false" customHeight="true" outlineLevel="0" collapsed="false">
      <c r="B67" s="235"/>
      <c r="D67" s="236"/>
      <c r="F67" s="237"/>
      <c r="G67" s="213"/>
      <c r="H67" s="238"/>
      <c r="J67" s="239"/>
      <c r="K67" s="239"/>
      <c r="L67" s="240"/>
      <c r="N67" s="241"/>
      <c r="O67" s="242"/>
      <c r="Q67" s="239"/>
      <c r="R67" s="240"/>
      <c r="T67" s="243"/>
      <c r="U67" s="240"/>
      <c r="W67" s="243"/>
      <c r="X67" s="223"/>
    </row>
    <row r="68" customFormat="false" ht="13.5" hidden="true" customHeight="true" outlineLevel="0" collapsed="false">
      <c r="B68" s="244" t="s">
        <v>58</v>
      </c>
      <c r="C68" s="245"/>
      <c r="D68" s="246" t="e">
        <f aca="false">D53/D65</f>
        <v>#DIV/0!</v>
      </c>
      <c r="E68" s="246"/>
      <c r="F68" s="237"/>
      <c r="G68" s="213"/>
      <c r="H68" s="247" t="e">
        <f aca="false">H53/H65</f>
        <v>#DIV/0!</v>
      </c>
      <c r="I68" s="247"/>
      <c r="J68" s="247"/>
      <c r="K68" s="239"/>
      <c r="L68" s="248" t="e">
        <f aca="false">L53/L65</f>
        <v>#DIV/0!</v>
      </c>
      <c r="M68" s="248"/>
      <c r="N68" s="249"/>
      <c r="O68" s="247" t="e">
        <f aca="false">O53/O65</f>
        <v>#DIV/0!</v>
      </c>
      <c r="P68" s="247"/>
      <c r="Q68" s="250"/>
      <c r="R68" s="248" t="e">
        <f aca="false">R53/R65</f>
        <v>#DIV/0!</v>
      </c>
      <c r="S68" s="248"/>
      <c r="T68" s="251"/>
      <c r="U68" s="248" t="e">
        <f aca="false">U53/U65</f>
        <v>#DIV/0!</v>
      </c>
      <c r="V68" s="248"/>
      <c r="W68" s="251"/>
      <c r="X68" s="223"/>
    </row>
    <row r="69" customFormat="false" ht="6" hidden="true" customHeight="true" outlineLevel="0" collapsed="false">
      <c r="C69" s="245"/>
      <c r="D69" s="252"/>
      <c r="E69" s="252"/>
      <c r="F69" s="237"/>
      <c r="G69" s="213"/>
      <c r="H69" s="238"/>
      <c r="J69" s="239"/>
      <c r="K69" s="239"/>
      <c r="L69" s="253"/>
      <c r="N69" s="241"/>
      <c r="O69" s="254"/>
      <c r="Q69" s="239"/>
      <c r="R69" s="255"/>
      <c r="T69" s="243"/>
      <c r="U69" s="255"/>
      <c r="W69" s="243"/>
      <c r="X69" s="223"/>
    </row>
    <row r="70" customFormat="false" ht="9" hidden="false" customHeight="true" outlineLevel="0" collapsed="false">
      <c r="D70" s="252"/>
      <c r="E70" s="252"/>
      <c r="F70" s="237"/>
      <c r="G70" s="213"/>
      <c r="H70" s="238"/>
      <c r="I70" s="256"/>
      <c r="J70" s="239"/>
      <c r="K70" s="239"/>
      <c r="L70" s="257"/>
      <c r="M70" s="241"/>
      <c r="N70" s="241"/>
      <c r="O70" s="258"/>
      <c r="P70" s="239"/>
      <c r="Q70" s="239"/>
      <c r="R70" s="257"/>
      <c r="S70" s="259"/>
      <c r="T70" s="243"/>
      <c r="U70" s="257"/>
      <c r="V70" s="259"/>
      <c r="W70" s="243"/>
      <c r="X70" s="223"/>
    </row>
    <row r="71" customFormat="false" ht="15" hidden="false" customHeight="true" outlineLevel="0" collapsed="false">
      <c r="B71" s="165" t="s">
        <v>59</v>
      </c>
      <c r="C71" s="165"/>
      <c r="D71" s="165"/>
      <c r="E71" s="165"/>
      <c r="F71" s="165"/>
      <c r="G71" s="165"/>
      <c r="H71" s="165"/>
      <c r="I71" s="165"/>
      <c r="J71" s="165"/>
      <c r="K71" s="165"/>
      <c r="L71" s="165"/>
      <c r="M71" s="165"/>
      <c r="N71" s="165"/>
      <c r="O71" s="165"/>
      <c r="P71" s="165"/>
      <c r="Q71" s="165"/>
      <c r="R71" s="165"/>
      <c r="S71" s="165"/>
      <c r="T71" s="243"/>
      <c r="U71" s="260"/>
      <c r="W71" s="243"/>
      <c r="X71" s="223"/>
    </row>
    <row r="72" customFormat="false" ht="9.75" hidden="false" customHeight="true" outlineLevel="0" collapsed="false">
      <c r="D72" s="252"/>
      <c r="E72" s="252"/>
      <c r="F72" s="237"/>
      <c r="G72" s="213"/>
      <c r="H72" s="238"/>
      <c r="I72" s="256"/>
      <c r="J72" s="239"/>
      <c r="K72" s="239"/>
      <c r="L72" s="257"/>
      <c r="M72" s="241"/>
      <c r="N72" s="241"/>
      <c r="O72" s="258"/>
      <c r="P72" s="239"/>
      <c r="Q72" s="239"/>
      <c r="R72" s="257"/>
      <c r="S72" s="259"/>
      <c r="T72" s="243"/>
      <c r="U72" s="257"/>
      <c r="V72" s="259"/>
      <c r="W72" s="243"/>
      <c r="X72" s="223"/>
    </row>
    <row r="73" customFormat="false" ht="15.75" hidden="false" customHeight="true" outlineLevel="0" collapsed="false">
      <c r="B73" s="235"/>
      <c r="D73" s="224" t="n">
        <f aca="false">D13</f>
        <v>2022</v>
      </c>
      <c r="E73" s="224"/>
      <c r="F73" s="261"/>
      <c r="G73" s="216"/>
      <c r="H73" s="227" t="n">
        <f aca="false">H13</f>
        <v>2023</v>
      </c>
      <c r="I73" s="227"/>
      <c r="J73" s="262"/>
      <c r="K73" s="262"/>
      <c r="L73" s="263" t="n">
        <f aca="false">L13</f>
        <v>2024</v>
      </c>
      <c r="M73" s="263"/>
      <c r="N73" s="264"/>
      <c r="O73" s="227" t="n">
        <f aca="false">O13</f>
        <v>2025</v>
      </c>
      <c r="P73" s="227"/>
      <c r="Q73" s="262"/>
      <c r="R73" s="232" t="str">
        <f aca="false">R13</f>
        <v>2026 - previsione</v>
      </c>
      <c r="S73" s="232"/>
      <c r="T73" s="265"/>
      <c r="U73" s="232" t="str">
        <f aca="false">U13</f>
        <v>2027 - previsione</v>
      </c>
      <c r="V73" s="232"/>
      <c r="W73" s="265"/>
      <c r="X73" s="223"/>
    </row>
    <row r="74" customFormat="false" ht="15.75" hidden="false" customHeight="true" outlineLevel="0" collapsed="false">
      <c r="B74" s="178" t="s">
        <v>60</v>
      </c>
      <c r="C74" s="178"/>
      <c r="D74" s="236" t="e">
        <f aca="false">D75/((D24-E76)/D24)</f>
        <v>#DIV/0!</v>
      </c>
      <c r="E74" s="236"/>
      <c r="H74" s="238" t="e">
        <f aca="false">H75/((H24-H76)/H24)</f>
        <v>#DIV/0!</v>
      </c>
      <c r="I74" s="238"/>
      <c r="J74" s="160"/>
      <c r="K74" s="160"/>
      <c r="L74" s="240" t="e">
        <f aca="false">L75/((L24-L76)/L24)</f>
        <v>#DIV/0!</v>
      </c>
      <c r="M74" s="240"/>
      <c r="O74" s="242" t="e">
        <f aca="false">O75/((O24-O76)/O24)</f>
        <v>#DIV/0!</v>
      </c>
      <c r="P74" s="242"/>
      <c r="Q74" s="245"/>
      <c r="R74" s="240" t="e">
        <f aca="false">R75/((R24-R76)/R24)</f>
        <v>#DIV/0!</v>
      </c>
      <c r="S74" s="240"/>
      <c r="T74" s="189"/>
      <c r="U74" s="240" t="e">
        <f aca="false">U75/((U24-U76)/U24)</f>
        <v>#DIV/0!</v>
      </c>
      <c r="V74" s="240"/>
      <c r="W74" s="189"/>
      <c r="X74" s="223"/>
    </row>
    <row r="75" customFormat="false" ht="12.75" hidden="false" customHeight="true" outlineLevel="0" collapsed="false">
      <c r="B75" s="235"/>
      <c r="C75" s="245" t="s">
        <v>61</v>
      </c>
      <c r="D75" s="266" t="n">
        <f aca="false">D31+D40+D41+D65</f>
        <v>0</v>
      </c>
      <c r="E75" s="266"/>
      <c r="H75" s="238" t="n">
        <f aca="false">H31+H40+H41+H65</f>
        <v>0</v>
      </c>
      <c r="I75" s="238"/>
      <c r="J75" s="250" t="e">
        <f aca="false">H75/(H75+H76)</f>
        <v>#DIV/0!</v>
      </c>
      <c r="K75" s="160"/>
      <c r="L75" s="267" t="n">
        <f aca="false">L31+L40+L41+L65</f>
        <v>0</v>
      </c>
      <c r="M75" s="267"/>
      <c r="N75" s="249" t="e">
        <f aca="false">L75/(L75+L76)</f>
        <v>#DIV/0!</v>
      </c>
      <c r="O75" s="268" t="n">
        <f aca="false">O31+O40+O41+O65</f>
        <v>0</v>
      </c>
      <c r="P75" s="268"/>
      <c r="Q75" s="250" t="e">
        <f aca="false">O75/(O75+O76)</f>
        <v>#DIV/0!</v>
      </c>
      <c r="R75" s="267" t="n">
        <f aca="false">R31+R40+R41+R65</f>
        <v>0</v>
      </c>
      <c r="S75" s="267"/>
      <c r="T75" s="251" t="e">
        <f aca="false">R75/(R75+R76)</f>
        <v>#DIV/0!</v>
      </c>
      <c r="U75" s="267" t="n">
        <f aca="false">U31+U40+U41+U65</f>
        <v>0</v>
      </c>
      <c r="V75" s="267"/>
      <c r="W75" s="251" t="e">
        <f aca="false">U75/(U75+U76)</f>
        <v>#DIV/0!</v>
      </c>
      <c r="X75" s="223"/>
      <c r="Y75" s="1" t="s">
        <v>62</v>
      </c>
    </row>
    <row r="76" customFormat="false" ht="12.75" hidden="false" customHeight="true" outlineLevel="0" collapsed="false">
      <c r="B76" s="11"/>
      <c r="C76" s="245" t="s">
        <v>63</v>
      </c>
      <c r="D76" s="269"/>
      <c r="E76" s="252" t="n">
        <f aca="false">D48-D75+D65</f>
        <v>0</v>
      </c>
      <c r="F76" s="155"/>
      <c r="G76" s="160"/>
      <c r="H76" s="238" t="n">
        <f aca="false">H48-H75+H65</f>
        <v>0</v>
      </c>
      <c r="I76" s="238"/>
      <c r="J76" s="160"/>
      <c r="K76" s="160"/>
      <c r="L76" s="253" t="n">
        <f aca="false">L48-L75+L65</f>
        <v>0</v>
      </c>
      <c r="M76" s="253"/>
      <c r="O76" s="254" t="n">
        <f aca="false">O48-O75+O65</f>
        <v>0</v>
      </c>
      <c r="P76" s="254"/>
      <c r="R76" s="255" t="n">
        <f aca="false">R48-R75+R65</f>
        <v>0</v>
      </c>
      <c r="S76" s="255"/>
      <c r="U76" s="255" t="n">
        <f aca="false">U48-U75+U65</f>
        <v>0</v>
      </c>
      <c r="V76" s="255"/>
    </row>
    <row r="77" customFormat="false" ht="5.25" hidden="false" customHeight="true" outlineLevel="0" collapsed="false">
      <c r="B77" s="270"/>
      <c r="C77" s="271"/>
      <c r="D77" s="272"/>
      <c r="F77" s="176"/>
      <c r="G77" s="273"/>
      <c r="H77" s="274"/>
      <c r="J77" s="275"/>
      <c r="K77" s="275"/>
      <c r="L77" s="276"/>
      <c r="N77" s="277"/>
      <c r="O77" s="278"/>
      <c r="Q77" s="275"/>
      <c r="R77" s="279"/>
      <c r="T77" s="280"/>
      <c r="U77" s="279"/>
      <c r="W77" s="280"/>
      <c r="X77" s="223"/>
    </row>
    <row r="78" customFormat="false" ht="15.75" hidden="false" customHeight="true" outlineLevel="0" collapsed="false">
      <c r="B78" s="178" t="s">
        <v>64</v>
      </c>
      <c r="C78" s="178"/>
      <c r="D78" s="281" t="e">
        <f aca="false">(D24-D74)/D24</f>
        <v>#DIV/0!</v>
      </c>
      <c r="E78" s="281"/>
      <c r="F78" s="197"/>
      <c r="G78" s="226"/>
      <c r="H78" s="282" t="e">
        <f aca="false">(H24-H74)/H24</f>
        <v>#DIV/0!</v>
      </c>
      <c r="I78" s="282"/>
      <c r="J78" s="228"/>
      <c r="K78" s="228"/>
      <c r="L78" s="283" t="e">
        <f aca="false">(L24-L74)/L24</f>
        <v>#DIV/0!</v>
      </c>
      <c r="M78" s="283"/>
      <c r="N78" s="230"/>
      <c r="O78" s="284" t="e">
        <f aca="false">(O24-O74)/O24</f>
        <v>#DIV/0!</v>
      </c>
      <c r="P78" s="284"/>
      <c r="Q78" s="228"/>
      <c r="R78" s="283" t="e">
        <f aca="false">(R24-R74)/R24</f>
        <v>#DIV/0!</v>
      </c>
      <c r="S78" s="283"/>
      <c r="T78" s="233"/>
      <c r="U78" s="283" t="e">
        <f aca="false">(U24-U74)/U24</f>
        <v>#DIV/0!</v>
      </c>
      <c r="V78" s="283"/>
      <c r="W78" s="233"/>
      <c r="X78" s="223"/>
    </row>
    <row r="79" customFormat="false" ht="5.25" hidden="false" customHeight="true" outlineLevel="0" collapsed="false">
      <c r="B79" s="285"/>
      <c r="C79" s="285"/>
      <c r="D79" s="286"/>
      <c r="E79" s="287"/>
      <c r="F79" s="288"/>
      <c r="G79" s="288"/>
      <c r="H79" s="286"/>
      <c r="I79" s="287"/>
      <c r="J79" s="288"/>
      <c r="K79" s="288"/>
      <c r="L79" s="286"/>
      <c r="M79" s="289"/>
      <c r="N79" s="288"/>
      <c r="O79" s="286"/>
      <c r="P79" s="289"/>
      <c r="Q79" s="288"/>
      <c r="R79" s="286"/>
      <c r="S79" s="289"/>
      <c r="T79" s="290"/>
      <c r="U79" s="286"/>
      <c r="V79" s="289"/>
      <c r="W79" s="290"/>
      <c r="X79" s="223"/>
    </row>
    <row r="80" customFormat="false" ht="15.75" hidden="false" customHeight="true" outlineLevel="0" collapsed="false">
      <c r="B80" s="178" t="s">
        <v>65</v>
      </c>
      <c r="C80" s="178"/>
      <c r="D80" s="281" t="e">
        <f aca="false">(D24-E76)/D53</f>
        <v>#DIV/0!</v>
      </c>
      <c r="E80" s="281"/>
      <c r="F80" s="288"/>
      <c r="G80" s="288"/>
      <c r="H80" s="282" t="e">
        <f aca="false">(H24-I76)/H53</f>
        <v>#DIV/0!</v>
      </c>
      <c r="I80" s="282"/>
      <c r="J80" s="288"/>
      <c r="K80" s="288"/>
      <c r="L80" s="291" t="e">
        <f aca="false">(L24-M76)/L53</f>
        <v>#DIV/0!</v>
      </c>
      <c r="M80" s="291"/>
      <c r="N80" s="288"/>
      <c r="O80" s="292" t="e">
        <f aca="false">(O24-P76)/O53</f>
        <v>#DIV/0!</v>
      </c>
      <c r="P80" s="292"/>
      <c r="Q80" s="288"/>
      <c r="R80" s="291" t="e">
        <f aca="false">(R24-S76)/R53</f>
        <v>#DIV/0!</v>
      </c>
      <c r="S80" s="291"/>
      <c r="T80" s="290"/>
      <c r="U80" s="291" t="e">
        <f aca="false">(U24-V76)/U53</f>
        <v>#DIV/0!</v>
      </c>
      <c r="V80" s="291"/>
      <c r="W80" s="290"/>
      <c r="X80" s="223"/>
    </row>
    <row r="81" customFormat="false" ht="12.75" hidden="false" customHeight="true" outlineLevel="0" collapsed="false">
      <c r="B81" s="293"/>
      <c r="C81" s="294"/>
      <c r="D81" s="295"/>
      <c r="E81" s="295"/>
      <c r="F81" s="176"/>
      <c r="G81" s="296"/>
      <c r="H81" s="258"/>
      <c r="I81" s="256"/>
      <c r="J81" s="239"/>
      <c r="K81" s="297"/>
      <c r="L81" s="257"/>
      <c r="M81" s="298"/>
      <c r="N81" s="299"/>
      <c r="O81" s="258"/>
      <c r="P81" s="300"/>
      <c r="Q81" s="297"/>
      <c r="R81" s="257"/>
      <c r="S81" s="298"/>
      <c r="T81" s="301"/>
      <c r="U81" s="257"/>
      <c r="V81" s="298"/>
      <c r="W81" s="301"/>
      <c r="X81" s="223"/>
    </row>
    <row r="82" customFormat="false" ht="15.75" hidden="true" customHeight="true" outlineLevel="0" collapsed="false">
      <c r="B82" s="178" t="s">
        <v>66</v>
      </c>
      <c r="C82" s="178"/>
      <c r="D82" s="178"/>
      <c r="E82" s="178"/>
      <c r="F82" s="178"/>
      <c r="G82" s="178"/>
      <c r="H82" s="178"/>
      <c r="I82" s="178"/>
      <c r="J82" s="178"/>
      <c r="K82" s="296"/>
      <c r="L82" s="302"/>
      <c r="M82" s="303"/>
      <c r="N82" s="296"/>
      <c r="O82" s="302"/>
      <c r="P82" s="303"/>
      <c r="Q82" s="296"/>
      <c r="R82" s="302"/>
      <c r="S82" s="303"/>
      <c r="U82" s="302"/>
      <c r="V82" s="303"/>
      <c r="X82" s="223"/>
    </row>
    <row r="83" customFormat="false" ht="6.75" hidden="false" customHeight="true" outlineLevel="0" collapsed="false">
      <c r="B83" s="153"/>
      <c r="C83" s="166"/>
      <c r="D83" s="167"/>
      <c r="E83" s="304"/>
      <c r="F83" s="155"/>
      <c r="G83" s="155"/>
      <c r="H83" s="167"/>
      <c r="I83" s="167"/>
      <c r="J83" s="155"/>
      <c r="K83" s="155"/>
      <c r="L83" s="305"/>
      <c r="M83" s="65"/>
      <c r="N83" s="65"/>
      <c r="O83" s="306"/>
      <c r="P83" s="65"/>
      <c r="Q83" s="65"/>
      <c r="R83" s="306"/>
      <c r="S83" s="65"/>
      <c r="T83" s="65"/>
      <c r="U83" s="306"/>
      <c r="V83" s="65"/>
      <c r="W83" s="65"/>
    </row>
    <row r="84" customFormat="false" ht="12.75" hidden="false" customHeight="true" outlineLevel="0" collapsed="false">
      <c r="B84" s="11"/>
      <c r="C84" s="206"/>
      <c r="D84" s="272" t="n">
        <f aca="false">D13</f>
        <v>2022</v>
      </c>
      <c r="E84" s="272"/>
      <c r="F84" s="160"/>
      <c r="G84" s="160"/>
      <c r="H84" s="274" t="n">
        <f aca="false">H13</f>
        <v>2023</v>
      </c>
      <c r="I84" s="274"/>
      <c r="J84" s="160"/>
      <c r="K84" s="160"/>
      <c r="L84" s="307" t="n">
        <f aca="false">L13</f>
        <v>2024</v>
      </c>
      <c r="M84" s="307"/>
      <c r="O84" s="274" t="n">
        <f aca="false">O13</f>
        <v>2025</v>
      </c>
      <c r="P84" s="274"/>
      <c r="R84" s="279" t="str">
        <f aca="false">R13</f>
        <v>2026 - previsione</v>
      </c>
      <c r="S84" s="279"/>
      <c r="U84" s="279" t="str">
        <f aca="false">U13</f>
        <v>2027 - previsione</v>
      </c>
      <c r="V84" s="279"/>
    </row>
    <row r="85" customFormat="false" ht="12.75" hidden="false" customHeight="true" outlineLevel="0" collapsed="false">
      <c r="B85" s="308"/>
      <c r="C85" s="308"/>
      <c r="D85" s="309" t="s">
        <v>67</v>
      </c>
      <c r="E85" s="310" t="s">
        <v>68</v>
      </c>
      <c r="F85" s="213"/>
      <c r="G85" s="296"/>
      <c r="H85" s="227" t="s">
        <v>67</v>
      </c>
      <c r="I85" s="311" t="s">
        <v>68</v>
      </c>
      <c r="J85" s="213"/>
      <c r="K85" s="296"/>
      <c r="L85" s="263" t="s">
        <v>67</v>
      </c>
      <c r="M85" s="312" t="s">
        <v>68</v>
      </c>
      <c r="N85" s="296"/>
      <c r="O85" s="227" t="s">
        <v>67</v>
      </c>
      <c r="P85" s="313" t="s">
        <v>68</v>
      </c>
      <c r="Q85" s="296"/>
      <c r="R85" s="263" t="s">
        <v>69</v>
      </c>
      <c r="S85" s="312" t="s">
        <v>68</v>
      </c>
      <c r="U85" s="263" t="s">
        <v>69</v>
      </c>
      <c r="V85" s="312" t="s">
        <v>68</v>
      </c>
      <c r="X85" s="223"/>
    </row>
    <row r="86" customFormat="false" ht="12.75" hidden="false" customHeight="true" outlineLevel="0" collapsed="false">
      <c r="B86" s="285" t="s">
        <v>70</v>
      </c>
      <c r="C86" s="308"/>
      <c r="D86" s="302"/>
      <c r="E86" s="314"/>
      <c r="F86" s="213"/>
      <c r="G86" s="296"/>
      <c r="H86" s="302"/>
      <c r="I86" s="314"/>
      <c r="J86" s="213"/>
      <c r="K86" s="296"/>
      <c r="L86" s="302"/>
      <c r="M86" s="303"/>
      <c r="N86" s="296"/>
      <c r="O86" s="302"/>
      <c r="P86" s="303"/>
      <c r="Q86" s="296"/>
      <c r="R86" s="302"/>
      <c r="S86" s="303"/>
      <c r="U86" s="302"/>
      <c r="V86" s="303"/>
      <c r="X86" s="223"/>
    </row>
    <row r="87" customFormat="false" ht="12.75" hidden="false" customHeight="true" outlineLevel="0" collapsed="false">
      <c r="B87" s="285" t="s">
        <v>71</v>
      </c>
      <c r="C87" s="315"/>
      <c r="D87" s="316"/>
      <c r="E87" s="317"/>
      <c r="F87" s="241"/>
      <c r="G87" s="296"/>
      <c r="H87" s="318"/>
      <c r="I87" s="256"/>
      <c r="J87" s="239"/>
      <c r="K87" s="297"/>
      <c r="L87" s="319"/>
      <c r="M87" s="298"/>
      <c r="N87" s="299"/>
      <c r="O87" s="318"/>
      <c r="P87" s="300"/>
      <c r="Q87" s="297"/>
      <c r="R87" s="319"/>
      <c r="S87" s="298"/>
      <c r="T87" s="301"/>
      <c r="U87" s="319"/>
      <c r="V87" s="298"/>
      <c r="W87" s="301"/>
      <c r="X87" s="223"/>
    </row>
    <row r="88" customFormat="false" ht="12.75" hidden="true" customHeight="true" outlineLevel="0" collapsed="false">
      <c r="B88" s="293" t="s">
        <v>72</v>
      </c>
      <c r="C88" s="294" t="n">
        <v>0.2</v>
      </c>
      <c r="D88" s="295" t="e">
        <f aca="false">E89</f>
        <v>#DIV/0!</v>
      </c>
      <c r="E88" s="295" t="e">
        <f aca="false">D89/D65</f>
        <v>#DIV/0!</v>
      </c>
      <c r="F88" s="213"/>
      <c r="G88" s="296"/>
      <c r="H88" s="258" t="e">
        <f aca="false">I89</f>
        <v>#DIV/0!</v>
      </c>
      <c r="I88" s="256" t="e">
        <f aca="false">H89/H65</f>
        <v>#DIV/0!</v>
      </c>
      <c r="J88" s="213"/>
      <c r="K88" s="296"/>
      <c r="L88" s="257" t="e">
        <f aca="false">M89</f>
        <v>#DIV/0!</v>
      </c>
      <c r="M88" s="298" t="e">
        <f aca="false">L89/L65</f>
        <v>#DIV/0!</v>
      </c>
      <c r="N88" s="296"/>
      <c r="O88" s="258" t="e">
        <f aca="false">P89</f>
        <v>#DIV/0!</v>
      </c>
      <c r="P88" s="300" t="e">
        <f aca="false">O89/O65</f>
        <v>#DIV/0!</v>
      </c>
      <c r="Q88" s="296"/>
      <c r="R88" s="257" t="e">
        <f aca="false">S89</f>
        <v>#DIV/0!</v>
      </c>
      <c r="S88" s="298" t="e">
        <f aca="false">R89/R65</f>
        <v>#DIV/0!</v>
      </c>
      <c r="U88" s="257" t="e">
        <f aca="false">V89</f>
        <v>#DIV/0!</v>
      </c>
      <c r="V88" s="298" t="e">
        <f aca="false">U89/U65</f>
        <v>#DIV/0!</v>
      </c>
      <c r="X88" s="223"/>
    </row>
    <row r="89" customFormat="false" ht="12.75" hidden="false" customHeight="true" outlineLevel="0" collapsed="false">
      <c r="B89" s="320" t="s">
        <v>72</v>
      </c>
      <c r="C89" s="321" t="n">
        <f aca="false">C88</f>
        <v>0.2</v>
      </c>
      <c r="D89" s="302" t="e">
        <f aca="false">D53*(1+(D80*C89))</f>
        <v>#DIV/0!</v>
      </c>
      <c r="E89" s="314" t="e">
        <f aca="false">D89/(D24*(1+C89))</f>
        <v>#DIV/0!</v>
      </c>
      <c r="F89" s="155"/>
      <c r="G89" s="155"/>
      <c r="H89" s="302" t="e">
        <f aca="false">H53*(1+(H80*C89))</f>
        <v>#DIV/0!</v>
      </c>
      <c r="I89" s="314" t="e">
        <f aca="false">H89/(H24*(1+C89))</f>
        <v>#DIV/0!</v>
      </c>
      <c r="J89" s="155"/>
      <c r="K89" s="155"/>
      <c r="L89" s="302" t="e">
        <f aca="false">L53*(1+(L80*C89))</f>
        <v>#DIV/0!</v>
      </c>
      <c r="M89" s="303" t="e">
        <f aca="false">L89/(L24*(1+C89))</f>
        <v>#DIV/0!</v>
      </c>
      <c r="N89" s="65"/>
      <c r="O89" s="302" t="e">
        <f aca="false">O53*(1+(O80*C89))</f>
        <v>#DIV/0!</v>
      </c>
      <c r="P89" s="303" t="e">
        <f aca="false">O89/(O24*(1+C89))</f>
        <v>#DIV/0!</v>
      </c>
      <c r="Q89" s="65"/>
      <c r="R89" s="302" t="e">
        <f aca="false">R53*(1+(R80*C89))</f>
        <v>#DIV/0!</v>
      </c>
      <c r="S89" s="303" t="e">
        <f aca="false">R89/(R24*(1+C89))</f>
        <v>#DIV/0!</v>
      </c>
      <c r="T89" s="65"/>
      <c r="U89" s="302" t="e">
        <f aca="false">U53*(1+(U80*F89))</f>
        <v>#DIV/0!</v>
      </c>
      <c r="V89" s="303" t="e">
        <f aca="false">U89/(U24*(1+F89))</f>
        <v>#DIV/0!</v>
      </c>
      <c r="W89" s="65"/>
    </row>
    <row r="90" customFormat="false" ht="6.75" hidden="false" customHeight="true" outlineLevel="0" collapsed="false">
      <c r="B90" s="322"/>
      <c r="C90" s="322"/>
      <c r="D90" s="323"/>
      <c r="E90" s="324"/>
      <c r="F90" s="325"/>
      <c r="G90" s="325"/>
      <c r="H90" s="323"/>
      <c r="I90" s="324"/>
      <c r="J90" s="326"/>
      <c r="K90" s="326"/>
      <c r="L90" s="323"/>
      <c r="M90" s="327"/>
      <c r="N90" s="325"/>
      <c r="O90" s="323"/>
      <c r="P90" s="327"/>
      <c r="Q90" s="328"/>
      <c r="R90" s="323"/>
      <c r="S90" s="327"/>
      <c r="T90" s="329"/>
      <c r="U90" s="323"/>
      <c r="V90" s="327"/>
      <c r="W90" s="329"/>
      <c r="X90" s="223"/>
    </row>
    <row r="91" s="34" customFormat="true" ht="6.75" hidden="false" customHeight="true" outlineLevel="0" collapsed="false">
      <c r="B91" s="330"/>
      <c r="C91" s="330"/>
      <c r="D91" s="331"/>
      <c r="E91" s="332"/>
      <c r="F91" s="333"/>
      <c r="G91" s="333"/>
      <c r="H91" s="331"/>
      <c r="I91" s="332"/>
      <c r="J91" s="334"/>
      <c r="K91" s="334"/>
      <c r="L91" s="331"/>
      <c r="M91" s="335"/>
      <c r="N91" s="333"/>
      <c r="O91" s="331"/>
      <c r="P91" s="335"/>
      <c r="Q91" s="336"/>
      <c r="R91" s="331"/>
      <c r="S91" s="335"/>
      <c r="T91" s="337"/>
      <c r="U91" s="331"/>
      <c r="V91" s="335"/>
      <c r="W91" s="337"/>
      <c r="X91" s="338"/>
    </row>
    <row r="92" s="34" customFormat="true" ht="12.75" hidden="false" customHeight="true" outlineLevel="0" collapsed="false">
      <c r="B92" s="308" t="s">
        <v>73</v>
      </c>
      <c r="C92" s="330"/>
      <c r="D92" s="331"/>
      <c r="E92" s="332"/>
      <c r="F92" s="339"/>
      <c r="G92" s="339"/>
      <c r="H92" s="331"/>
      <c r="I92" s="332"/>
      <c r="J92" s="334"/>
      <c r="K92" s="334"/>
      <c r="L92" s="331"/>
      <c r="M92" s="335"/>
      <c r="N92" s="333"/>
      <c r="O92" s="331"/>
      <c r="P92" s="335"/>
      <c r="Q92" s="336"/>
      <c r="R92" s="331"/>
      <c r="S92" s="335"/>
      <c r="T92" s="337"/>
      <c r="U92" s="331"/>
      <c r="V92" s="335"/>
      <c r="W92" s="337"/>
      <c r="X92" s="338"/>
    </row>
    <row r="93" s="34" customFormat="true" ht="12.75" hidden="false" customHeight="true" outlineLevel="0" collapsed="false">
      <c r="B93" s="308" t="s">
        <v>74</v>
      </c>
      <c r="C93" s="330"/>
      <c r="D93" s="340"/>
      <c r="E93" s="341"/>
      <c r="F93" s="342"/>
      <c r="G93" s="342"/>
      <c r="H93" s="341"/>
      <c r="I93" s="341"/>
      <c r="J93" s="343"/>
      <c r="K93" s="334"/>
      <c r="L93" s="331"/>
      <c r="M93" s="335"/>
      <c r="N93" s="333"/>
      <c r="O93" s="331"/>
      <c r="P93" s="335"/>
      <c r="Q93" s="336"/>
      <c r="R93" s="331"/>
      <c r="S93" s="335"/>
      <c r="T93" s="337"/>
      <c r="U93" s="331"/>
      <c r="V93" s="335"/>
      <c r="W93" s="337"/>
      <c r="X93" s="338"/>
    </row>
    <row r="94" s="34" customFormat="true" ht="12.75" hidden="false" customHeight="true" outlineLevel="0" collapsed="false">
      <c r="B94" s="344" t="s">
        <v>75</v>
      </c>
      <c r="C94" s="315" t="n">
        <f aca="false">C88</f>
        <v>0.2</v>
      </c>
      <c r="D94" s="345" t="e">
        <f aca="false">E95</f>
        <v>#DIV/0!</v>
      </c>
      <c r="E94" s="346" t="e">
        <f aca="false">D95/D65</f>
        <v>#DIV/0!</v>
      </c>
      <c r="F94" s="342"/>
      <c r="G94" s="342"/>
      <c r="H94" s="347" t="e">
        <f aca="false">I95</f>
        <v>#DIV/0!</v>
      </c>
      <c r="I94" s="348" t="e">
        <f aca="false">H95/H65</f>
        <v>#DIV/0!</v>
      </c>
      <c r="J94" s="343"/>
      <c r="K94" s="334"/>
      <c r="L94" s="319" t="e">
        <f aca="false">M95</f>
        <v>#DIV/0!</v>
      </c>
      <c r="M94" s="298" t="e">
        <f aca="false">L95/L65</f>
        <v>#DIV/0!</v>
      </c>
      <c r="N94" s="333"/>
      <c r="O94" s="318" t="e">
        <f aca="false">P95</f>
        <v>#DIV/0!</v>
      </c>
      <c r="P94" s="300" t="e">
        <f aca="false">O95/O65</f>
        <v>#DIV/0!</v>
      </c>
      <c r="Q94" s="336"/>
      <c r="R94" s="319" t="e">
        <f aca="false">S95</f>
        <v>#DIV/0!</v>
      </c>
      <c r="S94" s="298" t="e">
        <f aca="false">R95/R65</f>
        <v>#DIV/0!</v>
      </c>
      <c r="T94" s="337"/>
      <c r="U94" s="319" t="e">
        <f aca="false">V95</f>
        <v>#DIV/0!</v>
      </c>
      <c r="V94" s="298" t="e">
        <f aca="false">U95/U65</f>
        <v>#DIV/0!</v>
      </c>
      <c r="W94" s="337"/>
      <c r="X94" s="338"/>
    </row>
    <row r="95" s="34" customFormat="true" ht="12.75" hidden="false" customHeight="true" outlineLevel="0" collapsed="false">
      <c r="B95" s="344" t="s">
        <v>75</v>
      </c>
      <c r="C95" s="315" t="n">
        <f aca="false">C94</f>
        <v>0.2</v>
      </c>
      <c r="D95" s="349" t="e">
        <f aca="false">D53*(1-(D80*C95))</f>
        <v>#DIV/0!</v>
      </c>
      <c r="E95" s="350" t="e">
        <f aca="false">D95/(D24*(1-C95))</f>
        <v>#DIV/0!</v>
      </c>
      <c r="F95" s="342"/>
      <c r="G95" s="342"/>
      <c r="H95" s="349" t="e">
        <f aca="false">H53*(1-(H80*C95))</f>
        <v>#DIV/0!</v>
      </c>
      <c r="I95" s="350" t="e">
        <f aca="false">H95/(H24*(1-C95))</f>
        <v>#DIV/0!</v>
      </c>
      <c r="J95" s="343"/>
      <c r="K95" s="334"/>
      <c r="L95" s="302" t="e">
        <f aca="false">L53*(1-(L80*C95))</f>
        <v>#DIV/0!</v>
      </c>
      <c r="M95" s="303" t="e">
        <f aca="false">L95/(L24*(1-C95))</f>
        <v>#DIV/0!</v>
      </c>
      <c r="N95" s="333"/>
      <c r="O95" s="302" t="e">
        <f aca="false">O53*(1-(O80*C95))</f>
        <v>#DIV/0!</v>
      </c>
      <c r="P95" s="303" t="e">
        <f aca="false">O95/(O24*(1-C95))</f>
        <v>#DIV/0!</v>
      </c>
      <c r="Q95" s="336"/>
      <c r="R95" s="302" t="e">
        <f aca="false">R53*(1-(R80*C95))</f>
        <v>#DIV/0!</v>
      </c>
      <c r="S95" s="303" t="e">
        <f aca="false">R95/(R24*(1-C95))</f>
        <v>#DIV/0!</v>
      </c>
      <c r="T95" s="337"/>
      <c r="U95" s="302" t="e">
        <f aca="false">U53*(1-(U80*F95))</f>
        <v>#DIV/0!</v>
      </c>
      <c r="V95" s="303" t="e">
        <f aca="false">U95/(U24*(1-F95))</f>
        <v>#DIV/0!</v>
      </c>
      <c r="W95" s="337"/>
      <c r="X95" s="338"/>
    </row>
    <row r="96" s="34" customFormat="true" ht="6.75" hidden="false" customHeight="true" outlineLevel="0" collapsed="false">
      <c r="B96" s="330"/>
      <c r="C96" s="330"/>
      <c r="D96" s="331"/>
      <c r="E96" s="332"/>
      <c r="F96" s="333"/>
      <c r="G96" s="333"/>
      <c r="H96" s="331"/>
      <c r="I96" s="332"/>
      <c r="J96" s="334"/>
      <c r="K96" s="334"/>
      <c r="L96" s="331"/>
      <c r="M96" s="335"/>
      <c r="N96" s="333"/>
      <c r="O96" s="331"/>
      <c r="P96" s="335"/>
      <c r="Q96" s="336"/>
      <c r="R96" s="331"/>
      <c r="S96" s="335"/>
      <c r="T96" s="337"/>
      <c r="U96" s="331"/>
      <c r="V96" s="335"/>
      <c r="W96" s="337"/>
      <c r="X96" s="338"/>
    </row>
    <row r="97" s="34" customFormat="true" ht="12.75" hidden="false" customHeight="true" outlineLevel="0" collapsed="false">
      <c r="B97" s="330"/>
      <c r="C97" s="330"/>
      <c r="D97" s="331"/>
      <c r="E97" s="332"/>
      <c r="F97" s="333"/>
      <c r="G97" s="333"/>
      <c r="H97" s="331"/>
      <c r="I97" s="332"/>
      <c r="J97" s="334"/>
      <c r="K97" s="334"/>
      <c r="L97" s="331"/>
      <c r="M97" s="335"/>
      <c r="N97" s="333"/>
      <c r="O97" s="331"/>
      <c r="P97" s="335"/>
      <c r="Q97" s="336"/>
      <c r="R97" s="331"/>
      <c r="S97" s="335"/>
      <c r="T97" s="337"/>
      <c r="U97" s="331"/>
      <c r="V97" s="335"/>
      <c r="W97" s="337"/>
      <c r="X97" s="338"/>
    </row>
    <row r="98" s="34" customFormat="true" ht="12.75" hidden="false" customHeight="true" outlineLevel="0" collapsed="false">
      <c r="B98" s="330"/>
      <c r="C98" s="330"/>
      <c r="D98" s="331"/>
      <c r="E98" s="332"/>
      <c r="F98" s="333"/>
      <c r="G98" s="333"/>
      <c r="H98" s="331"/>
      <c r="I98" s="332"/>
      <c r="J98" s="334"/>
      <c r="K98" s="334"/>
      <c r="L98" s="331"/>
      <c r="M98" s="335"/>
      <c r="N98" s="333"/>
      <c r="O98" s="331"/>
      <c r="P98" s="335"/>
      <c r="Q98" s="336"/>
      <c r="R98" s="331"/>
      <c r="S98" s="335"/>
      <c r="T98" s="337"/>
      <c r="U98" s="331"/>
      <c r="V98" s="335"/>
      <c r="W98" s="337"/>
      <c r="X98" s="338"/>
    </row>
    <row r="99" s="34" customFormat="true" ht="12.75" hidden="false" customHeight="true" outlineLevel="0" collapsed="false">
      <c r="B99" s="330"/>
      <c r="C99" s="330"/>
      <c r="D99" s="331" t="n">
        <f aca="false">D73</f>
        <v>2022</v>
      </c>
      <c r="E99" s="332" t="n">
        <f aca="false">H73</f>
        <v>2023</v>
      </c>
      <c r="F99" s="339" t="n">
        <f aca="false">L73</f>
        <v>2024</v>
      </c>
      <c r="G99" s="333"/>
      <c r="H99" s="331" t="n">
        <f aca="false">O73</f>
        <v>2025</v>
      </c>
      <c r="I99" s="332" t="str">
        <f aca="false">R73</f>
        <v>2026 - previsione</v>
      </c>
      <c r="J99" s="334"/>
      <c r="K99" s="334"/>
      <c r="L99" s="331"/>
      <c r="M99" s="335"/>
      <c r="N99" s="333"/>
      <c r="O99" s="331"/>
      <c r="P99" s="335"/>
      <c r="Q99" s="336"/>
      <c r="R99" s="331"/>
      <c r="S99" s="335"/>
      <c r="T99" s="337"/>
      <c r="U99" s="331"/>
      <c r="V99" s="335"/>
      <c r="W99" s="337"/>
      <c r="X99" s="338"/>
    </row>
    <row r="100" customFormat="false" ht="12.75" hidden="false" customHeight="true" outlineLevel="0" collapsed="false">
      <c r="B100" s="322"/>
      <c r="C100" s="330" t="s">
        <v>76</v>
      </c>
      <c r="D100" s="331" t="e">
        <f aca="false">F53</f>
        <v>#DIV/0!</v>
      </c>
      <c r="E100" s="332" t="e">
        <f aca="false">J53</f>
        <v>#DIV/0!</v>
      </c>
      <c r="F100" s="351" t="e">
        <f aca="false">M53</f>
        <v>#DIV/0!</v>
      </c>
      <c r="G100" s="351" t="n">
        <f aca="false">L53</f>
        <v>0</v>
      </c>
      <c r="H100" s="332" t="e">
        <f aca="false">P53</f>
        <v>#DIV/0!</v>
      </c>
      <c r="I100" s="332" t="e">
        <f aca="false">S53</f>
        <v>#DIV/0!</v>
      </c>
      <c r="J100" s="326"/>
      <c r="K100" s="326"/>
      <c r="L100" s="323"/>
      <c r="M100" s="327"/>
      <c r="N100" s="325"/>
      <c r="O100" s="323"/>
      <c r="P100" s="327"/>
      <c r="Q100" s="328"/>
      <c r="R100" s="323"/>
      <c r="S100" s="327"/>
      <c r="T100" s="329"/>
      <c r="U100" s="323"/>
      <c r="V100" s="327"/>
      <c r="W100" s="329"/>
      <c r="X100" s="223"/>
    </row>
    <row r="101" customFormat="false" ht="12.75" hidden="false" customHeight="true" outlineLevel="0" collapsed="false">
      <c r="B101" s="322"/>
      <c r="C101" s="330" t="s">
        <v>77</v>
      </c>
      <c r="D101" s="331" t="e">
        <f aca="false">D88</f>
        <v>#DIV/0!</v>
      </c>
      <c r="E101" s="332" t="e">
        <f aca="false">H88</f>
        <v>#DIV/0!</v>
      </c>
      <c r="F101" s="351" t="e">
        <f aca="false">L88</f>
        <v>#DIV/0!</v>
      </c>
      <c r="G101" s="351" t="n">
        <f aca="false">J88</f>
        <v>0</v>
      </c>
      <c r="H101" s="332" t="e">
        <f aca="false">O88</f>
        <v>#DIV/0!</v>
      </c>
      <c r="I101" s="332" t="e">
        <f aca="false">R88</f>
        <v>#DIV/0!</v>
      </c>
      <c r="J101" s="326"/>
      <c r="K101" s="326"/>
      <c r="L101" s="323"/>
      <c r="M101" s="327"/>
      <c r="N101" s="325"/>
      <c r="O101" s="323"/>
      <c r="P101" s="327"/>
      <c r="Q101" s="328"/>
      <c r="R101" s="323"/>
      <c r="S101" s="327"/>
      <c r="T101" s="329"/>
      <c r="U101" s="323"/>
      <c r="V101" s="327"/>
      <c r="W101" s="329"/>
      <c r="X101" s="223"/>
    </row>
    <row r="102" customFormat="false" ht="12.75" hidden="false" customHeight="true" outlineLevel="0" collapsed="false">
      <c r="B102" s="322"/>
      <c r="C102" s="330" t="s">
        <v>78</v>
      </c>
      <c r="D102" s="331" t="e">
        <f aca="false">D94</f>
        <v>#DIV/0!</v>
      </c>
      <c r="E102" s="332" t="e">
        <f aca="false">H94</f>
        <v>#DIV/0!</v>
      </c>
      <c r="F102" s="351" t="e">
        <f aca="false">L94</f>
        <v>#DIV/0!</v>
      </c>
      <c r="G102" s="351" t="n">
        <f aca="false">J94</f>
        <v>0</v>
      </c>
      <c r="H102" s="332" t="e">
        <f aca="false">O94</f>
        <v>#DIV/0!</v>
      </c>
      <c r="I102" s="332" t="e">
        <f aca="false">R94</f>
        <v>#DIV/0!</v>
      </c>
      <c r="J102" s="326"/>
      <c r="K102" s="326"/>
      <c r="L102" s="323"/>
      <c r="M102" s="327"/>
      <c r="N102" s="325"/>
      <c r="O102" s="323"/>
      <c r="P102" s="327"/>
      <c r="Q102" s="328"/>
      <c r="R102" s="323"/>
      <c r="S102" s="327"/>
      <c r="T102" s="329"/>
      <c r="U102" s="323"/>
      <c r="V102" s="327"/>
      <c r="W102" s="329"/>
      <c r="X102" s="223"/>
    </row>
    <row r="103" customFormat="false" ht="12.75" hidden="false" customHeight="true" outlineLevel="0" collapsed="false">
      <c r="B103" s="322"/>
      <c r="C103" s="322"/>
      <c r="D103" s="323"/>
      <c r="E103" s="324"/>
      <c r="F103" s="325"/>
      <c r="G103" s="325"/>
      <c r="H103" s="323"/>
      <c r="I103" s="324"/>
      <c r="J103" s="326"/>
      <c r="K103" s="326"/>
      <c r="L103" s="323"/>
      <c r="M103" s="327"/>
      <c r="N103" s="325"/>
      <c r="O103" s="323"/>
      <c r="P103" s="327"/>
      <c r="Q103" s="328"/>
      <c r="R103" s="323"/>
      <c r="S103" s="327"/>
      <c r="T103" s="329"/>
      <c r="U103" s="323"/>
      <c r="V103" s="327"/>
      <c r="W103" s="329"/>
      <c r="X103" s="223"/>
    </row>
    <row r="104" customFormat="false" ht="12.75" hidden="false" customHeight="true" outlineLevel="0" collapsed="false">
      <c r="B104" s="322"/>
      <c r="C104" s="330" t="s">
        <v>79</v>
      </c>
      <c r="D104" s="331" t="e">
        <f aca="false">D68</f>
        <v>#DIV/0!</v>
      </c>
      <c r="E104" s="332" t="e">
        <f aca="false">H68</f>
        <v>#DIV/0!</v>
      </c>
      <c r="F104" s="333" t="e">
        <f aca="false">L68</f>
        <v>#DIV/0!</v>
      </c>
      <c r="G104" s="325"/>
      <c r="H104" s="331" t="e">
        <f aca="false">O68</f>
        <v>#DIV/0!</v>
      </c>
      <c r="I104" s="332" t="e">
        <f aca="false">R68</f>
        <v>#DIV/0!</v>
      </c>
      <c r="J104" s="326"/>
      <c r="K104" s="326"/>
      <c r="L104" s="323"/>
      <c r="M104" s="327"/>
      <c r="N104" s="325"/>
      <c r="O104" s="323"/>
      <c r="P104" s="327"/>
      <c r="Q104" s="328"/>
      <c r="R104" s="323"/>
      <c r="S104" s="327"/>
      <c r="T104" s="329"/>
      <c r="U104" s="323"/>
      <c r="V104" s="327"/>
      <c r="W104" s="329"/>
      <c r="X104" s="223"/>
    </row>
    <row r="105" customFormat="false" ht="12.75" hidden="false" customHeight="true" outlineLevel="0" collapsed="false">
      <c r="B105" s="322"/>
      <c r="C105" s="330" t="s">
        <v>80</v>
      </c>
      <c r="D105" s="331" t="e">
        <f aca="false">E88</f>
        <v>#DIV/0!</v>
      </c>
      <c r="E105" s="332" t="e">
        <f aca="false">I88</f>
        <v>#DIV/0!</v>
      </c>
      <c r="F105" s="333" t="e">
        <f aca="false">M88</f>
        <v>#DIV/0!</v>
      </c>
      <c r="G105" s="325"/>
      <c r="H105" s="331" t="e">
        <f aca="false">P88</f>
        <v>#DIV/0!</v>
      </c>
      <c r="I105" s="332" t="e">
        <f aca="false">S88</f>
        <v>#DIV/0!</v>
      </c>
      <c r="J105" s="326"/>
      <c r="K105" s="326"/>
      <c r="L105" s="323"/>
      <c r="M105" s="327"/>
      <c r="N105" s="325"/>
      <c r="O105" s="323"/>
      <c r="P105" s="327"/>
      <c r="Q105" s="328"/>
      <c r="R105" s="323"/>
      <c r="S105" s="327"/>
      <c r="T105" s="329"/>
      <c r="U105" s="323"/>
      <c r="V105" s="327"/>
      <c r="W105" s="329"/>
      <c r="X105" s="223"/>
    </row>
    <row r="106" customFormat="false" ht="12.75" hidden="false" customHeight="true" outlineLevel="0" collapsed="false">
      <c r="B106" s="322"/>
      <c r="C106" s="330" t="s">
        <v>81</v>
      </c>
      <c r="D106" s="331" t="e">
        <f aca="false">E94</f>
        <v>#DIV/0!</v>
      </c>
      <c r="E106" s="332" t="e">
        <f aca="false">I94</f>
        <v>#DIV/0!</v>
      </c>
      <c r="F106" s="333" t="e">
        <f aca="false">M94</f>
        <v>#DIV/0!</v>
      </c>
      <c r="G106" s="325"/>
      <c r="H106" s="331" t="e">
        <f aca="false">P94</f>
        <v>#DIV/0!</v>
      </c>
      <c r="I106" s="332" t="e">
        <f aca="false">S94</f>
        <v>#DIV/0!</v>
      </c>
      <c r="J106" s="326"/>
      <c r="K106" s="326"/>
      <c r="L106" s="323"/>
      <c r="M106" s="327"/>
      <c r="N106" s="325"/>
      <c r="O106" s="323"/>
      <c r="P106" s="327"/>
      <c r="Q106" s="328"/>
      <c r="R106" s="323"/>
      <c r="S106" s="327"/>
      <c r="T106" s="329"/>
      <c r="U106" s="323"/>
      <c r="V106" s="327"/>
      <c r="W106" s="329"/>
      <c r="X106" s="223"/>
    </row>
    <row r="107" customFormat="false" ht="12.75" hidden="false" customHeight="true" outlineLevel="0" collapsed="false">
      <c r="B107" s="322"/>
      <c r="C107" s="322"/>
      <c r="D107" s="323"/>
      <c r="E107" s="324"/>
      <c r="F107" s="325"/>
      <c r="G107" s="325"/>
      <c r="H107" s="323"/>
      <c r="I107" s="324"/>
      <c r="J107" s="326"/>
      <c r="K107" s="326"/>
      <c r="L107" s="323"/>
      <c r="M107" s="327"/>
      <c r="N107" s="325"/>
      <c r="O107" s="323"/>
      <c r="P107" s="327"/>
      <c r="Q107" s="328"/>
      <c r="R107" s="323"/>
      <c r="S107" s="327"/>
      <c r="T107" s="329"/>
      <c r="U107" s="323"/>
      <c r="V107" s="327"/>
      <c r="W107" s="329"/>
      <c r="X107" s="223"/>
    </row>
    <row r="108" customFormat="false" ht="12.75" hidden="false" customHeight="true" outlineLevel="0" collapsed="false">
      <c r="B108" s="322"/>
      <c r="C108" s="322"/>
      <c r="D108" s="323"/>
      <c r="E108" s="324"/>
      <c r="F108" s="325"/>
      <c r="G108" s="325"/>
      <c r="H108" s="323"/>
      <c r="I108" s="324"/>
      <c r="J108" s="326"/>
      <c r="K108" s="326"/>
      <c r="L108" s="323"/>
      <c r="M108" s="327"/>
      <c r="N108" s="325"/>
      <c r="O108" s="323"/>
      <c r="P108" s="327"/>
      <c r="Q108" s="328"/>
      <c r="R108" s="323"/>
      <c r="S108" s="327"/>
      <c r="T108" s="329"/>
      <c r="U108" s="323"/>
      <c r="V108" s="327"/>
      <c r="W108" s="329"/>
      <c r="X108" s="223"/>
    </row>
    <row r="109" customFormat="false" ht="12.75" hidden="false" customHeight="true" outlineLevel="0" collapsed="false">
      <c r="B109" s="322"/>
      <c r="C109" s="322"/>
      <c r="D109" s="323"/>
      <c r="E109" s="324"/>
      <c r="F109" s="325"/>
      <c r="G109" s="325"/>
      <c r="H109" s="323"/>
      <c r="I109" s="324"/>
      <c r="J109" s="326"/>
      <c r="K109" s="326"/>
      <c r="L109" s="323"/>
      <c r="M109" s="327"/>
      <c r="N109" s="325"/>
      <c r="O109" s="323"/>
      <c r="P109" s="327"/>
      <c r="Q109" s="328"/>
      <c r="R109" s="323"/>
      <c r="S109" s="327"/>
      <c r="T109" s="329"/>
      <c r="U109" s="323"/>
      <c r="V109" s="327"/>
      <c r="W109" s="329"/>
      <c r="X109" s="223"/>
    </row>
    <row r="110" customFormat="false" ht="12.75" hidden="false" customHeight="true" outlineLevel="0" collapsed="false">
      <c r="B110" s="322"/>
      <c r="C110" s="322"/>
      <c r="D110" s="323"/>
      <c r="E110" s="324"/>
      <c r="F110" s="325"/>
      <c r="G110" s="325"/>
      <c r="H110" s="323"/>
      <c r="I110" s="324"/>
      <c r="J110" s="326"/>
      <c r="K110" s="326"/>
      <c r="L110" s="323"/>
      <c r="M110" s="327"/>
      <c r="N110" s="325"/>
      <c r="O110" s="323"/>
      <c r="P110" s="327"/>
      <c r="Q110" s="328"/>
      <c r="R110" s="323"/>
      <c r="S110" s="327"/>
      <c r="T110" s="329"/>
      <c r="U110" s="323"/>
      <c r="V110" s="327"/>
      <c r="W110" s="329"/>
      <c r="X110" s="223"/>
    </row>
    <row r="111" customFormat="false" ht="12.75" hidden="false" customHeight="true" outlineLevel="0" collapsed="false">
      <c r="B111" s="352"/>
      <c r="C111" s="352"/>
      <c r="D111" s="353"/>
      <c r="E111" s="354"/>
      <c r="F111" s="355"/>
      <c r="G111" s="355"/>
      <c r="H111" s="353"/>
      <c r="I111" s="354"/>
      <c r="J111" s="356"/>
      <c r="K111" s="356"/>
      <c r="L111" s="353"/>
      <c r="M111" s="357"/>
      <c r="N111" s="355"/>
      <c r="O111" s="353"/>
      <c r="P111" s="357"/>
      <c r="Q111" s="358"/>
      <c r="R111" s="353"/>
      <c r="S111" s="357"/>
      <c r="T111" s="359"/>
      <c r="U111" s="353"/>
      <c r="V111" s="357"/>
      <c r="W111" s="359"/>
      <c r="X111" s="223"/>
    </row>
    <row r="112" customFormat="false" ht="12.75" hidden="false" customHeight="true" outlineLevel="0" collapsed="false">
      <c r="B112" s="322"/>
      <c r="C112" s="322"/>
      <c r="D112" s="323"/>
      <c r="E112" s="324"/>
      <c r="F112" s="325"/>
      <c r="G112" s="325"/>
      <c r="H112" s="323"/>
      <c r="I112" s="324"/>
      <c r="J112" s="326"/>
      <c r="K112" s="326"/>
      <c r="L112" s="323"/>
      <c r="M112" s="327"/>
      <c r="N112" s="325"/>
      <c r="O112" s="323"/>
      <c r="P112" s="327"/>
      <c r="Q112" s="328"/>
      <c r="R112" s="323"/>
      <c r="S112" s="327"/>
      <c r="T112" s="329"/>
      <c r="U112" s="323"/>
      <c r="V112" s="327"/>
      <c r="W112" s="329"/>
      <c r="X112" s="223"/>
    </row>
    <row r="113" customFormat="false" ht="12.75" hidden="false" customHeight="true" outlineLevel="0" collapsed="false">
      <c r="B113" s="322"/>
      <c r="C113" s="322"/>
      <c r="D113" s="323"/>
      <c r="E113" s="324"/>
      <c r="F113" s="325"/>
      <c r="G113" s="325"/>
      <c r="H113" s="323"/>
      <c r="I113" s="324"/>
      <c r="J113" s="326"/>
      <c r="K113" s="326"/>
      <c r="L113" s="323"/>
      <c r="M113" s="327"/>
      <c r="N113" s="325"/>
      <c r="O113" s="323"/>
      <c r="P113" s="327"/>
      <c r="Q113" s="328"/>
      <c r="R113" s="323"/>
      <c r="S113" s="327"/>
      <c r="T113" s="329"/>
      <c r="U113" s="323"/>
      <c r="V113" s="327"/>
      <c r="W113" s="329"/>
      <c r="X113" s="223"/>
    </row>
    <row r="114" customFormat="false" ht="12.75" hidden="false" customHeight="true" outlineLevel="0" collapsed="false">
      <c r="B114" s="322"/>
      <c r="C114" s="322"/>
      <c r="D114" s="323"/>
      <c r="E114" s="324"/>
      <c r="F114" s="325"/>
      <c r="G114" s="325"/>
      <c r="H114" s="323"/>
      <c r="I114" s="324"/>
      <c r="J114" s="326"/>
      <c r="K114" s="326"/>
      <c r="L114" s="323"/>
      <c r="M114" s="327"/>
      <c r="N114" s="325"/>
      <c r="O114" s="323"/>
      <c r="P114" s="327"/>
      <c r="Q114" s="328"/>
      <c r="R114" s="323"/>
      <c r="S114" s="327"/>
      <c r="T114" s="329"/>
      <c r="U114" s="323"/>
      <c r="V114" s="327"/>
      <c r="W114" s="329"/>
      <c r="X114" s="223"/>
    </row>
    <row r="115" customFormat="false" ht="12.75" hidden="false" customHeight="true" outlineLevel="0" collapsed="false">
      <c r="B115" s="322"/>
      <c r="C115" s="322"/>
      <c r="D115" s="323"/>
      <c r="E115" s="324"/>
      <c r="F115" s="325"/>
      <c r="G115" s="325"/>
      <c r="H115" s="323"/>
      <c r="I115" s="324"/>
      <c r="J115" s="326"/>
      <c r="K115" s="326"/>
      <c r="L115" s="323"/>
      <c r="M115" s="327"/>
      <c r="N115" s="325"/>
      <c r="O115" s="323"/>
      <c r="P115" s="327"/>
      <c r="Q115" s="328"/>
      <c r="R115" s="323"/>
      <c r="S115" s="327"/>
      <c r="T115" s="329"/>
      <c r="U115" s="323"/>
      <c r="V115" s="327"/>
      <c r="W115" s="329"/>
      <c r="X115" s="223"/>
    </row>
    <row r="116" customFormat="false" ht="12.75" hidden="false" customHeight="true" outlineLevel="0" collapsed="false">
      <c r="B116" s="322"/>
      <c r="C116" s="322"/>
      <c r="D116" s="323"/>
      <c r="E116" s="324"/>
      <c r="F116" s="325"/>
      <c r="G116" s="325"/>
      <c r="H116" s="323"/>
      <c r="I116" s="324"/>
      <c r="J116" s="326"/>
      <c r="K116" s="326"/>
      <c r="L116" s="323"/>
      <c r="M116" s="327"/>
      <c r="N116" s="325"/>
      <c r="O116" s="323"/>
      <c r="P116" s="327"/>
      <c r="Q116" s="328"/>
      <c r="R116" s="323"/>
      <c r="S116" s="327"/>
      <c r="T116" s="329"/>
      <c r="U116" s="323"/>
      <c r="V116" s="327"/>
      <c r="W116" s="329"/>
      <c r="X116" s="223"/>
    </row>
    <row r="117" customFormat="false" ht="12.75" hidden="false" customHeight="true" outlineLevel="0" collapsed="false">
      <c r="B117" s="322"/>
      <c r="C117" s="322"/>
      <c r="D117" s="323"/>
      <c r="E117" s="324"/>
      <c r="F117" s="325"/>
      <c r="G117" s="325"/>
      <c r="H117" s="323"/>
      <c r="I117" s="324"/>
      <c r="J117" s="326"/>
      <c r="K117" s="326"/>
      <c r="L117" s="323"/>
      <c r="M117" s="327"/>
      <c r="N117" s="325"/>
      <c r="O117" s="323"/>
      <c r="P117" s="327"/>
      <c r="Q117" s="328"/>
      <c r="R117" s="323"/>
      <c r="S117" s="327"/>
      <c r="T117" s="329"/>
      <c r="U117" s="323"/>
      <c r="V117" s="327"/>
      <c r="W117" s="329"/>
      <c r="X117" s="223"/>
    </row>
    <row r="118" customFormat="false" ht="12.75" hidden="false" customHeight="true" outlineLevel="0" collapsed="false">
      <c r="B118" s="322"/>
      <c r="C118" s="322"/>
      <c r="D118" s="323"/>
      <c r="E118" s="324"/>
      <c r="F118" s="325"/>
      <c r="G118" s="325"/>
      <c r="H118" s="323"/>
      <c r="I118" s="324"/>
      <c r="J118" s="326"/>
      <c r="K118" s="326"/>
      <c r="L118" s="323"/>
      <c r="M118" s="327"/>
      <c r="N118" s="325"/>
      <c r="O118" s="323"/>
      <c r="P118" s="327"/>
      <c r="Q118" s="328"/>
      <c r="R118" s="323"/>
      <c r="S118" s="327"/>
      <c r="T118" s="329"/>
      <c r="U118" s="323"/>
      <c r="V118" s="327"/>
      <c r="W118" s="329"/>
      <c r="X118" s="223"/>
    </row>
    <row r="119" customFormat="false" ht="12.75" hidden="false" customHeight="true" outlineLevel="0" collapsed="false">
      <c r="B119" s="322"/>
      <c r="C119" s="322"/>
      <c r="D119" s="323"/>
      <c r="E119" s="324"/>
      <c r="F119" s="325"/>
      <c r="G119" s="325"/>
      <c r="H119" s="323"/>
      <c r="I119" s="324"/>
      <c r="J119" s="326"/>
      <c r="K119" s="326"/>
      <c r="L119" s="323"/>
      <c r="M119" s="327"/>
      <c r="N119" s="325"/>
      <c r="O119" s="323"/>
      <c r="P119" s="327"/>
      <c r="Q119" s="328"/>
      <c r="R119" s="323"/>
      <c r="S119" s="327"/>
      <c r="T119" s="329"/>
      <c r="U119" s="323"/>
      <c r="V119" s="327"/>
      <c r="W119" s="329"/>
      <c r="X119" s="223"/>
    </row>
    <row r="120" customFormat="false" ht="12.75" hidden="false" customHeight="true" outlineLevel="0" collapsed="false">
      <c r="B120" s="322"/>
      <c r="C120" s="322"/>
      <c r="D120" s="323"/>
      <c r="E120" s="324"/>
      <c r="F120" s="325"/>
      <c r="G120" s="325"/>
      <c r="H120" s="323"/>
      <c r="I120" s="324"/>
      <c r="J120" s="326"/>
      <c r="K120" s="326"/>
      <c r="L120" s="323"/>
      <c r="M120" s="327"/>
      <c r="N120" s="325"/>
      <c r="O120" s="323"/>
      <c r="P120" s="327"/>
      <c r="Q120" s="328"/>
      <c r="R120" s="323"/>
      <c r="S120" s="327"/>
      <c r="T120" s="329"/>
      <c r="U120" s="323"/>
      <c r="V120" s="327"/>
      <c r="W120" s="329"/>
      <c r="X120" s="223"/>
    </row>
    <row r="121" customFormat="false" ht="12.75" hidden="false" customHeight="true" outlineLevel="0" collapsed="false">
      <c r="B121" s="325"/>
      <c r="C121" s="325"/>
      <c r="D121" s="323"/>
      <c r="E121" s="323"/>
      <c r="F121" s="325"/>
      <c r="G121" s="325"/>
      <c r="H121" s="323"/>
      <c r="I121" s="360"/>
      <c r="J121" s="326"/>
      <c r="K121" s="326"/>
      <c r="M121" s="325"/>
      <c r="N121" s="325"/>
      <c r="O121" s="361"/>
      <c r="P121" s="328"/>
      <c r="Q121" s="328"/>
      <c r="R121" s="360"/>
      <c r="S121" s="329"/>
      <c r="T121" s="329"/>
      <c r="U121" s="360"/>
      <c r="V121" s="329"/>
      <c r="W121" s="329"/>
      <c r="X121" s="223"/>
    </row>
    <row r="122" customFormat="false" ht="12.75" hidden="false" customHeight="true" outlineLevel="0" collapsed="false">
      <c r="B122" s="325"/>
      <c r="C122" s="325"/>
      <c r="D122" s="323"/>
      <c r="E122" s="323"/>
      <c r="F122" s="325"/>
      <c r="G122" s="325"/>
      <c r="H122" s="323"/>
      <c r="I122" s="360"/>
      <c r="J122" s="326"/>
      <c r="K122" s="326"/>
      <c r="M122" s="325"/>
      <c r="N122" s="325"/>
      <c r="O122" s="361"/>
      <c r="P122" s="328"/>
      <c r="Q122" s="328"/>
      <c r="R122" s="360"/>
      <c r="S122" s="329"/>
      <c r="T122" s="329"/>
      <c r="U122" s="360"/>
      <c r="V122" s="329"/>
      <c r="W122" s="329"/>
      <c r="X122" s="223"/>
    </row>
    <row r="123" customFormat="false" ht="12.75" hidden="false" customHeight="true" outlineLevel="0" collapsed="false">
      <c r="D123" s="323"/>
      <c r="E123" s="323"/>
      <c r="H123" s="323"/>
      <c r="I123" s="360"/>
      <c r="J123" s="160"/>
      <c r="K123" s="160"/>
      <c r="O123" s="361"/>
      <c r="P123" s="245"/>
      <c r="Q123" s="245"/>
      <c r="R123" s="360"/>
      <c r="S123" s="329"/>
      <c r="T123" s="189"/>
      <c r="U123" s="360"/>
      <c r="V123" s="329"/>
      <c r="W123" s="189"/>
      <c r="X123" s="223"/>
    </row>
    <row r="124" customFormat="false" ht="12.75" hidden="false" customHeight="true" outlineLevel="0" collapsed="false">
      <c r="D124" s="323"/>
      <c r="E124" s="323"/>
      <c r="H124" s="323"/>
      <c r="I124" s="160"/>
      <c r="K124" s="160"/>
      <c r="O124" s="245"/>
      <c r="Q124" s="245"/>
      <c r="R124" s="223"/>
      <c r="T124" s="189"/>
      <c r="U124" s="223"/>
      <c r="W124" s="189"/>
      <c r="X124" s="223"/>
    </row>
    <row r="125" customFormat="false" ht="12.75" hidden="false" customHeight="true" outlineLevel="0" collapsed="false">
      <c r="B125" s="3"/>
      <c r="C125" s="11"/>
      <c r="D125" s="360"/>
      <c r="E125" s="360"/>
      <c r="H125" s="360"/>
      <c r="I125" s="360"/>
      <c r="J125" s="362"/>
      <c r="K125" s="362"/>
      <c r="L125" s="360"/>
    </row>
    <row r="126" customFormat="false" ht="12.75" hidden="false" customHeight="true" outlineLevel="0" collapsed="false">
      <c r="B126" s="363"/>
      <c r="C126" s="11"/>
      <c r="D126" s="323"/>
      <c r="H126" s="4"/>
      <c r="I126" s="4"/>
      <c r="J126" s="3"/>
      <c r="K126" s="3"/>
      <c r="L126" s="360"/>
    </row>
    <row r="127" customFormat="false" ht="12.75" hidden="false" customHeight="true" outlineLevel="0" collapsed="false">
      <c r="B127" s="364"/>
      <c r="T127" s="365"/>
      <c r="U127" s="365"/>
      <c r="V127" s="365"/>
      <c r="W127" s="365"/>
      <c r="X127" s="366"/>
    </row>
    <row r="128" customFormat="false" ht="12.75" hidden="false" customHeight="true" outlineLevel="0" collapsed="false">
      <c r="T128" s="365"/>
      <c r="U128" s="365"/>
      <c r="V128" s="365"/>
      <c r="W128" s="365"/>
      <c r="X128" s="366"/>
    </row>
    <row r="129" customFormat="false" ht="12.75" hidden="false" customHeight="true" outlineLevel="0" collapsed="false">
      <c r="T129" s="365"/>
      <c r="U129" s="365"/>
      <c r="V129" s="365"/>
      <c r="W129" s="365"/>
      <c r="X129" s="366"/>
    </row>
    <row r="130" customFormat="false" ht="12.75" hidden="false" customHeight="true" outlineLevel="0" collapsed="false">
      <c r="T130" s="365"/>
      <c r="U130" s="365"/>
      <c r="V130" s="365"/>
      <c r="W130" s="365"/>
      <c r="X130" s="366"/>
    </row>
    <row r="131" customFormat="false" ht="12.75" hidden="false" customHeight="true" outlineLevel="0" collapsed="false">
      <c r="B131" s="1" t="s">
        <v>82</v>
      </c>
      <c r="I131" s="367"/>
      <c r="J131" s="367"/>
      <c r="O131" s="368" t="s">
        <v>83</v>
      </c>
      <c r="P131" s="368"/>
      <c r="R131" s="369" t="n">
        <f aca="true">NOW()</f>
        <v>46214.7533359052</v>
      </c>
      <c r="S131" s="369"/>
      <c r="T131" s="365"/>
      <c r="U131" s="369" t="n">
        <f aca="true">NOW()</f>
        <v>46214.7533368267</v>
      </c>
      <c r="V131" s="369"/>
      <c r="W131" s="365"/>
      <c r="X131" s="366"/>
    </row>
    <row r="132" customFormat="false" ht="9.75" hidden="false" customHeight="true" outlineLevel="0" collapsed="false">
      <c r="T132" s="365"/>
      <c r="U132" s="365"/>
      <c r="V132" s="365"/>
      <c r="W132" s="365"/>
      <c r="X132" s="366"/>
    </row>
    <row r="133" customFormat="false" ht="14.25" hidden="false" customHeight="false" outlineLevel="0" collapsed="false">
      <c r="B133" s="363" t="s">
        <v>84</v>
      </c>
      <c r="T133" s="365"/>
      <c r="U133" s="365"/>
      <c r="V133" s="365"/>
      <c r="W133" s="365"/>
      <c r="X133" s="366"/>
    </row>
    <row r="134" customFormat="false" ht="14.25" hidden="false" customHeight="false" outlineLevel="0" collapsed="false">
      <c r="B134" s="370"/>
      <c r="C134" s="370"/>
      <c r="D134" s="370"/>
      <c r="E134" s="370"/>
      <c r="F134" s="370"/>
      <c r="G134" s="370"/>
      <c r="H134" s="370"/>
      <c r="I134" s="370"/>
      <c r="J134" s="370"/>
      <c r="K134" s="370"/>
      <c r="L134" s="370"/>
      <c r="M134" s="370"/>
      <c r="N134" s="370"/>
      <c r="O134" s="370"/>
      <c r="P134" s="370"/>
      <c r="Q134" s="370"/>
      <c r="R134" s="370"/>
      <c r="S134" s="370"/>
      <c r="T134" s="365"/>
      <c r="U134" s="365"/>
      <c r="V134" s="365"/>
      <c r="W134" s="365"/>
      <c r="X134" s="366"/>
    </row>
    <row r="135" customFormat="false" ht="14.25" hidden="false" customHeight="false" outlineLevel="0" collapsed="false">
      <c r="B135" s="370"/>
      <c r="C135" s="370"/>
      <c r="D135" s="370"/>
      <c r="E135" s="370"/>
      <c r="F135" s="370"/>
      <c r="G135" s="370"/>
      <c r="H135" s="370"/>
      <c r="I135" s="370"/>
      <c r="J135" s="370"/>
      <c r="K135" s="370"/>
      <c r="L135" s="370"/>
      <c r="M135" s="370"/>
      <c r="N135" s="370"/>
      <c r="O135" s="370"/>
      <c r="P135" s="370"/>
      <c r="Q135" s="370"/>
      <c r="R135" s="370"/>
      <c r="S135" s="370"/>
      <c r="T135" s="365"/>
      <c r="U135" s="365"/>
      <c r="V135" s="365"/>
      <c r="W135" s="365"/>
      <c r="X135" s="366"/>
    </row>
    <row r="136" customFormat="false" ht="11.25" hidden="false" customHeight="true" outlineLevel="0" collapsed="false">
      <c r="B136" s="370"/>
      <c r="C136" s="370"/>
      <c r="D136" s="370"/>
      <c r="E136" s="370"/>
      <c r="F136" s="370"/>
      <c r="G136" s="370"/>
      <c r="H136" s="370"/>
      <c r="I136" s="370"/>
      <c r="J136" s="370"/>
      <c r="K136" s="370"/>
      <c r="L136" s="370"/>
      <c r="M136" s="370"/>
      <c r="N136" s="370"/>
      <c r="O136" s="370"/>
      <c r="P136" s="370"/>
      <c r="Q136" s="370"/>
      <c r="R136" s="370"/>
      <c r="S136" s="370"/>
      <c r="T136" s="365"/>
      <c r="U136" s="365"/>
      <c r="V136" s="365"/>
      <c r="W136" s="365"/>
      <c r="X136" s="366"/>
    </row>
    <row r="137" customFormat="false" ht="18.75" hidden="false" customHeight="true" outlineLevel="0" collapsed="false">
      <c r="B137" s="370"/>
      <c r="C137" s="370"/>
      <c r="D137" s="370"/>
      <c r="E137" s="370"/>
      <c r="F137" s="370"/>
      <c r="G137" s="370"/>
      <c r="H137" s="370"/>
      <c r="I137" s="370"/>
      <c r="J137" s="370"/>
      <c r="K137" s="370"/>
      <c r="L137" s="370"/>
      <c r="M137" s="370"/>
      <c r="N137" s="370"/>
      <c r="O137" s="370"/>
      <c r="P137" s="370"/>
      <c r="Q137" s="370"/>
      <c r="R137" s="370"/>
      <c r="S137" s="370"/>
      <c r="T137" s="365"/>
      <c r="U137" s="365"/>
      <c r="V137" s="365"/>
      <c r="W137" s="365"/>
    </row>
    <row r="138" customFormat="false" ht="14.25" hidden="false" customHeight="false" outlineLevel="0" collapsed="false">
      <c r="B138" s="370"/>
      <c r="C138" s="370"/>
      <c r="D138" s="370"/>
      <c r="E138" s="370"/>
      <c r="F138" s="370"/>
      <c r="G138" s="370"/>
      <c r="H138" s="370"/>
      <c r="I138" s="370"/>
      <c r="J138" s="370"/>
      <c r="K138" s="370"/>
      <c r="L138" s="370"/>
      <c r="M138" s="370"/>
      <c r="N138" s="370"/>
      <c r="O138" s="370"/>
      <c r="P138" s="370"/>
      <c r="Q138" s="370"/>
      <c r="R138" s="370"/>
      <c r="S138" s="370"/>
      <c r="T138" s="365"/>
      <c r="U138" s="365"/>
      <c r="V138" s="365"/>
      <c r="W138" s="365"/>
    </row>
    <row r="139" customFormat="false" ht="14.25" hidden="false" customHeight="false" outlineLevel="0" collapsed="false">
      <c r="B139" s="370"/>
      <c r="C139" s="370"/>
      <c r="D139" s="370"/>
      <c r="E139" s="370"/>
      <c r="F139" s="370"/>
      <c r="G139" s="370"/>
      <c r="H139" s="370"/>
      <c r="I139" s="370"/>
      <c r="J139" s="370"/>
      <c r="K139" s="370"/>
      <c r="L139" s="370"/>
      <c r="M139" s="370"/>
      <c r="N139" s="370"/>
      <c r="O139" s="370"/>
      <c r="P139" s="370"/>
      <c r="Q139" s="370"/>
      <c r="R139" s="370"/>
      <c r="S139" s="370"/>
      <c r="T139" s="365"/>
      <c r="U139" s="365"/>
      <c r="V139" s="365"/>
      <c r="W139" s="365"/>
    </row>
    <row r="140" customFormat="false" ht="14.25" hidden="false" customHeight="false" outlineLevel="0" collapsed="false">
      <c r="B140" s="370"/>
      <c r="C140" s="370"/>
      <c r="D140" s="370"/>
      <c r="E140" s="370"/>
      <c r="F140" s="370"/>
      <c r="G140" s="370"/>
      <c r="H140" s="370"/>
      <c r="I140" s="370"/>
      <c r="J140" s="370"/>
      <c r="K140" s="370"/>
      <c r="L140" s="370"/>
      <c r="M140" s="370"/>
      <c r="N140" s="370"/>
      <c r="O140" s="370"/>
      <c r="P140" s="370"/>
      <c r="Q140" s="370"/>
      <c r="R140" s="370"/>
      <c r="S140" s="370"/>
      <c r="T140" s="365"/>
      <c r="U140" s="365"/>
      <c r="V140" s="365"/>
      <c r="W140" s="365"/>
    </row>
    <row r="141" customFormat="false" ht="14.25" hidden="false" customHeight="false" outlineLevel="0" collapsed="false">
      <c r="B141" s="370"/>
      <c r="C141" s="370"/>
      <c r="D141" s="370"/>
      <c r="E141" s="370"/>
      <c r="F141" s="370"/>
      <c r="G141" s="370"/>
      <c r="H141" s="370"/>
      <c r="I141" s="370"/>
      <c r="J141" s="370"/>
      <c r="K141" s="370"/>
      <c r="L141" s="370"/>
      <c r="M141" s="370"/>
      <c r="N141" s="370"/>
      <c r="O141" s="370"/>
      <c r="P141" s="370"/>
      <c r="Q141" s="370"/>
      <c r="R141" s="370"/>
      <c r="S141" s="370"/>
      <c r="T141" s="365"/>
      <c r="U141" s="365"/>
      <c r="V141" s="365"/>
      <c r="W141" s="365"/>
    </row>
    <row r="142" customFormat="false" ht="14.25" hidden="false" customHeight="false" outlineLevel="0" collapsed="false">
      <c r="B142" s="370"/>
      <c r="C142" s="370"/>
      <c r="D142" s="370"/>
      <c r="E142" s="370"/>
      <c r="F142" s="370"/>
      <c r="G142" s="370"/>
      <c r="H142" s="370"/>
      <c r="I142" s="370"/>
      <c r="J142" s="370"/>
      <c r="K142" s="370"/>
      <c r="L142" s="370"/>
      <c r="M142" s="370"/>
      <c r="N142" s="370"/>
      <c r="O142" s="370"/>
      <c r="P142" s="370"/>
      <c r="Q142" s="370"/>
      <c r="R142" s="370"/>
      <c r="S142" s="370"/>
      <c r="T142" s="365"/>
      <c r="U142" s="365"/>
      <c r="V142" s="365"/>
      <c r="W142" s="365"/>
    </row>
    <row r="143" customFormat="false" ht="14.25" hidden="false" customHeight="false" outlineLevel="0" collapsed="false">
      <c r="B143" s="370"/>
      <c r="C143" s="370"/>
      <c r="D143" s="370"/>
      <c r="E143" s="370"/>
      <c r="F143" s="370"/>
      <c r="G143" s="370"/>
      <c r="H143" s="370"/>
      <c r="I143" s="370"/>
      <c r="J143" s="370"/>
      <c r="K143" s="370"/>
      <c r="L143" s="370"/>
      <c r="M143" s="370"/>
      <c r="N143" s="370"/>
      <c r="O143" s="370"/>
      <c r="P143" s="370"/>
      <c r="Q143" s="370"/>
      <c r="R143" s="370"/>
      <c r="S143" s="370"/>
      <c r="T143" s="365"/>
      <c r="U143" s="365"/>
      <c r="V143" s="365"/>
      <c r="W143" s="365"/>
    </row>
    <row r="144" customFormat="false" ht="14.25" hidden="false" customHeight="false" outlineLevel="0" collapsed="false">
      <c r="B144" s="370"/>
      <c r="C144" s="370"/>
      <c r="D144" s="370"/>
      <c r="E144" s="370"/>
      <c r="F144" s="370"/>
      <c r="G144" s="370"/>
      <c r="H144" s="370"/>
      <c r="I144" s="370"/>
      <c r="J144" s="370"/>
      <c r="K144" s="370"/>
      <c r="L144" s="370"/>
      <c r="M144" s="370"/>
      <c r="N144" s="370"/>
      <c r="O144" s="370"/>
      <c r="P144" s="370"/>
      <c r="Q144" s="370"/>
      <c r="R144" s="370"/>
      <c r="S144" s="370"/>
      <c r="T144" s="365"/>
      <c r="U144" s="365"/>
      <c r="V144" s="365"/>
      <c r="W144" s="365"/>
    </row>
    <row r="145" customFormat="false" ht="14.25" hidden="false" customHeight="false" outlineLevel="0" collapsed="false">
      <c r="B145" s="370"/>
      <c r="C145" s="370"/>
      <c r="D145" s="370"/>
      <c r="E145" s="370"/>
      <c r="F145" s="370"/>
      <c r="G145" s="370"/>
      <c r="H145" s="370"/>
      <c r="I145" s="370"/>
      <c r="J145" s="370"/>
      <c r="K145" s="370"/>
      <c r="L145" s="370"/>
      <c r="M145" s="370"/>
      <c r="N145" s="370"/>
      <c r="O145" s="370"/>
      <c r="P145" s="370"/>
      <c r="Q145" s="370"/>
      <c r="R145" s="370"/>
      <c r="S145" s="370"/>
    </row>
    <row r="146" customFormat="false" ht="14.25" hidden="false" customHeight="false" outlineLevel="0" collapsed="false">
      <c r="B146" s="370"/>
      <c r="C146" s="370"/>
      <c r="D146" s="370"/>
      <c r="E146" s="370"/>
      <c r="F146" s="370"/>
      <c r="G146" s="370"/>
      <c r="H146" s="370"/>
      <c r="I146" s="370"/>
      <c r="J146" s="370"/>
      <c r="K146" s="370"/>
      <c r="L146" s="370"/>
      <c r="M146" s="370"/>
      <c r="N146" s="370"/>
      <c r="O146" s="370"/>
      <c r="P146" s="370"/>
      <c r="Q146" s="370"/>
      <c r="R146" s="370"/>
      <c r="S146" s="370"/>
    </row>
    <row r="147" customFormat="false" ht="14.25" hidden="false" customHeight="false" outlineLevel="0" collapsed="false">
      <c r="B147" s="370"/>
      <c r="C147" s="370"/>
      <c r="D147" s="370"/>
      <c r="E147" s="370"/>
      <c r="F147" s="370"/>
      <c r="G147" s="370"/>
      <c r="H147" s="370"/>
      <c r="I147" s="370"/>
      <c r="J147" s="370"/>
      <c r="K147" s="370"/>
      <c r="L147" s="370"/>
      <c r="M147" s="370"/>
      <c r="N147" s="370"/>
      <c r="O147" s="370"/>
      <c r="P147" s="370"/>
      <c r="Q147" s="370"/>
      <c r="R147" s="370"/>
      <c r="S147" s="370"/>
    </row>
    <row r="148" customFormat="false" ht="14.25" hidden="false" customHeight="false" outlineLevel="0" collapsed="false">
      <c r="B148" s="370"/>
      <c r="C148" s="370"/>
      <c r="D148" s="370"/>
      <c r="E148" s="370"/>
      <c r="F148" s="370"/>
      <c r="G148" s="370"/>
      <c r="H148" s="370"/>
      <c r="I148" s="370"/>
      <c r="J148" s="370"/>
      <c r="K148" s="370"/>
      <c r="L148" s="370"/>
      <c r="M148" s="370"/>
      <c r="N148" s="370"/>
      <c r="O148" s="370"/>
      <c r="P148" s="370"/>
      <c r="Q148" s="370"/>
      <c r="R148" s="370"/>
      <c r="S148" s="370"/>
    </row>
    <row r="149" customFormat="false" ht="14.25" hidden="false" customHeight="false" outlineLevel="0" collapsed="false">
      <c r="B149" s="370"/>
      <c r="C149" s="370"/>
      <c r="D149" s="370"/>
      <c r="E149" s="370"/>
      <c r="F149" s="370"/>
      <c r="G149" s="370"/>
      <c r="H149" s="370"/>
      <c r="I149" s="370"/>
      <c r="J149" s="370"/>
      <c r="K149" s="370"/>
      <c r="L149" s="370"/>
      <c r="M149" s="370"/>
      <c r="N149" s="370"/>
      <c r="O149" s="370"/>
      <c r="P149" s="370"/>
      <c r="Q149" s="370"/>
      <c r="R149" s="370"/>
      <c r="S149" s="370"/>
    </row>
    <row r="150" customFormat="false" ht="14.25" hidden="false" customHeight="false" outlineLevel="0" collapsed="false">
      <c r="B150" s="370"/>
      <c r="C150" s="370"/>
      <c r="D150" s="370"/>
      <c r="E150" s="370"/>
      <c r="F150" s="370"/>
      <c r="G150" s="370"/>
      <c r="H150" s="370"/>
      <c r="I150" s="370"/>
      <c r="J150" s="370"/>
      <c r="K150" s="370"/>
      <c r="L150" s="370"/>
      <c r="M150" s="370"/>
      <c r="N150" s="370"/>
      <c r="O150" s="370"/>
      <c r="P150" s="370"/>
      <c r="Q150" s="370"/>
      <c r="R150" s="370"/>
      <c r="S150" s="370"/>
    </row>
    <row r="151" customFormat="false" ht="14.25" hidden="false" customHeight="false" outlineLevel="0" collapsed="false">
      <c r="B151" s="370"/>
      <c r="C151" s="370"/>
      <c r="D151" s="370"/>
      <c r="E151" s="370"/>
      <c r="F151" s="370"/>
      <c r="G151" s="370"/>
      <c r="H151" s="370"/>
      <c r="I151" s="370"/>
      <c r="J151" s="370"/>
      <c r="K151" s="370"/>
      <c r="L151" s="370"/>
      <c r="M151" s="370"/>
      <c r="N151" s="370"/>
      <c r="O151" s="370"/>
      <c r="P151" s="370"/>
      <c r="Q151" s="370"/>
      <c r="R151" s="370"/>
      <c r="S151" s="370"/>
    </row>
  </sheetData>
  <mergeCells count="184">
    <mergeCell ref="B2:S2"/>
    <mergeCell ref="B4:C4"/>
    <mergeCell ref="D4:J4"/>
    <mergeCell ref="B6:C6"/>
    <mergeCell ref="D6:S6"/>
    <mergeCell ref="B8:C8"/>
    <mergeCell ref="D8:S8"/>
    <mergeCell ref="B10:S10"/>
    <mergeCell ref="B11:S11"/>
    <mergeCell ref="D13:F13"/>
    <mergeCell ref="H13:J13"/>
    <mergeCell ref="L13:M13"/>
    <mergeCell ref="O13:P13"/>
    <mergeCell ref="R13:S13"/>
    <mergeCell ref="U13:V13"/>
    <mergeCell ref="D14:E14"/>
    <mergeCell ref="H14:I14"/>
    <mergeCell ref="B16:S16"/>
    <mergeCell ref="D18:E18"/>
    <mergeCell ref="H18:I18"/>
    <mergeCell ref="D19:E19"/>
    <mergeCell ref="H19:I19"/>
    <mergeCell ref="D20:E20"/>
    <mergeCell ref="H20:I20"/>
    <mergeCell ref="B21:C21"/>
    <mergeCell ref="D21:E21"/>
    <mergeCell ref="H21:I21"/>
    <mergeCell ref="B22:C22"/>
    <mergeCell ref="D22:E22"/>
    <mergeCell ref="H22:I22"/>
    <mergeCell ref="D23:E23"/>
    <mergeCell ref="H23:I23"/>
    <mergeCell ref="D24:E24"/>
    <mergeCell ref="H24:I24"/>
    <mergeCell ref="B26:S26"/>
    <mergeCell ref="D27:E27"/>
    <mergeCell ref="H27:I27"/>
    <mergeCell ref="D28:E28"/>
    <mergeCell ref="H28:I28"/>
    <mergeCell ref="D29:E29"/>
    <mergeCell ref="H29:I29"/>
    <mergeCell ref="D30:E30"/>
    <mergeCell ref="H30:I30"/>
    <mergeCell ref="D31:E31"/>
    <mergeCell ref="H31:I31"/>
    <mergeCell ref="D32:E32"/>
    <mergeCell ref="H32:I32"/>
    <mergeCell ref="D33:E33"/>
    <mergeCell ref="H33:I33"/>
    <mergeCell ref="D34:E34"/>
    <mergeCell ref="H34:I34"/>
    <mergeCell ref="D35:E35"/>
    <mergeCell ref="H35:I35"/>
    <mergeCell ref="D36:E36"/>
    <mergeCell ref="H36:I36"/>
    <mergeCell ref="D37:E37"/>
    <mergeCell ref="H37:I37"/>
    <mergeCell ref="D38:E38"/>
    <mergeCell ref="H38:I38"/>
    <mergeCell ref="D39:E39"/>
    <mergeCell ref="H39:I39"/>
    <mergeCell ref="D40:E40"/>
    <mergeCell ref="H40:I40"/>
    <mergeCell ref="D41:E41"/>
    <mergeCell ref="H41:I41"/>
    <mergeCell ref="D42:E42"/>
    <mergeCell ref="H42:I42"/>
    <mergeCell ref="D43:E43"/>
    <mergeCell ref="H43:I43"/>
    <mergeCell ref="D44:E44"/>
    <mergeCell ref="H44:I44"/>
    <mergeCell ref="D45:E45"/>
    <mergeCell ref="H45:I45"/>
    <mergeCell ref="B46:C46"/>
    <mergeCell ref="D46:E46"/>
    <mergeCell ref="H46:I46"/>
    <mergeCell ref="D47:E47"/>
    <mergeCell ref="H47:I47"/>
    <mergeCell ref="D48:E48"/>
    <mergeCell ref="H48:I48"/>
    <mergeCell ref="B50:S50"/>
    <mergeCell ref="B53:C53"/>
    <mergeCell ref="D53:E53"/>
    <mergeCell ref="H53:I53"/>
    <mergeCell ref="B56:S56"/>
    <mergeCell ref="D58:E58"/>
    <mergeCell ref="H58:L58"/>
    <mergeCell ref="D59:E59"/>
    <mergeCell ref="H59:J59"/>
    <mergeCell ref="L59:M59"/>
    <mergeCell ref="O59:P59"/>
    <mergeCell ref="R59:S59"/>
    <mergeCell ref="U59:V59"/>
    <mergeCell ref="D60:E60"/>
    <mergeCell ref="H60:J60"/>
    <mergeCell ref="L60:M60"/>
    <mergeCell ref="O60:P60"/>
    <mergeCell ref="R60:S60"/>
    <mergeCell ref="U60:V60"/>
    <mergeCell ref="D61:E61"/>
    <mergeCell ref="H61:J61"/>
    <mergeCell ref="L61:M61"/>
    <mergeCell ref="O61:P61"/>
    <mergeCell ref="R61:S61"/>
    <mergeCell ref="U61:V61"/>
    <mergeCell ref="D62:E62"/>
    <mergeCell ref="H62:J62"/>
    <mergeCell ref="L62:M62"/>
    <mergeCell ref="O62:P62"/>
    <mergeCell ref="R62:S62"/>
    <mergeCell ref="U62:V62"/>
    <mergeCell ref="D63:E63"/>
    <mergeCell ref="H63:J63"/>
    <mergeCell ref="L63:M63"/>
    <mergeCell ref="O63:P63"/>
    <mergeCell ref="R63:S63"/>
    <mergeCell ref="U63:V63"/>
    <mergeCell ref="D64:E64"/>
    <mergeCell ref="H64:J64"/>
    <mergeCell ref="L64:M64"/>
    <mergeCell ref="O64:P64"/>
    <mergeCell ref="R64:S64"/>
    <mergeCell ref="U64:V64"/>
    <mergeCell ref="B65:C65"/>
    <mergeCell ref="D65:E65"/>
    <mergeCell ref="H65:I65"/>
    <mergeCell ref="D66:E66"/>
    <mergeCell ref="D68:E68"/>
    <mergeCell ref="H68:J68"/>
    <mergeCell ref="L68:M68"/>
    <mergeCell ref="O68:P68"/>
    <mergeCell ref="R68:S68"/>
    <mergeCell ref="U68:V68"/>
    <mergeCell ref="B71:S71"/>
    <mergeCell ref="D73:E73"/>
    <mergeCell ref="H73:I73"/>
    <mergeCell ref="L73:M73"/>
    <mergeCell ref="O73:P73"/>
    <mergeCell ref="R73:S73"/>
    <mergeCell ref="U73:V73"/>
    <mergeCell ref="B74:C74"/>
    <mergeCell ref="D74:E74"/>
    <mergeCell ref="H74:I74"/>
    <mergeCell ref="L74:M74"/>
    <mergeCell ref="O74:P74"/>
    <mergeCell ref="R74:S74"/>
    <mergeCell ref="U74:V74"/>
    <mergeCell ref="D75:E75"/>
    <mergeCell ref="H75:I75"/>
    <mergeCell ref="L75:M75"/>
    <mergeCell ref="O75:P75"/>
    <mergeCell ref="R75:S75"/>
    <mergeCell ref="U75:V75"/>
    <mergeCell ref="H76:I76"/>
    <mergeCell ref="L76:M76"/>
    <mergeCell ref="O76:P76"/>
    <mergeCell ref="R76:S76"/>
    <mergeCell ref="U76:V76"/>
    <mergeCell ref="B78:C78"/>
    <mergeCell ref="D78:E78"/>
    <mergeCell ref="H78:I78"/>
    <mergeCell ref="L78:M78"/>
    <mergeCell ref="O78:P78"/>
    <mergeCell ref="R78:S78"/>
    <mergeCell ref="U78:V78"/>
    <mergeCell ref="B80:C80"/>
    <mergeCell ref="D80:E80"/>
    <mergeCell ref="H80:I80"/>
    <mergeCell ref="L80:M80"/>
    <mergeCell ref="O80:P80"/>
    <mergeCell ref="R80:S80"/>
    <mergeCell ref="U80:V80"/>
    <mergeCell ref="B82:J82"/>
    <mergeCell ref="D84:E84"/>
    <mergeCell ref="H84:I84"/>
    <mergeCell ref="L84:M84"/>
    <mergeCell ref="O84:P84"/>
    <mergeCell ref="R84:S84"/>
    <mergeCell ref="U84:V84"/>
    <mergeCell ref="I131:J131"/>
    <mergeCell ref="O131:P131"/>
    <mergeCell ref="R131:S131"/>
    <mergeCell ref="U131:V131"/>
    <mergeCell ref="B134:S151"/>
  </mergeCells>
  <conditionalFormatting sqref="U61:V61">
    <cfRule type="cellIs" priority="2" operator="lessThan" aboveAverage="0" equalAverage="0" bottom="0" percent="0" rank="0" text="" dxfId="0">
      <formula>1.1</formula>
    </cfRule>
  </conditionalFormatting>
  <conditionalFormatting sqref="R61:S61">
    <cfRule type="cellIs" priority="3" operator="lessThan" aboveAverage="0" equalAverage="0" bottom="0" percent="0" rank="0" text="" dxfId="0">
      <formula>1.1</formula>
    </cfRule>
  </conditionalFormatting>
  <conditionalFormatting sqref="Y61:Z61">
    <cfRule type="cellIs" priority="4" operator="lessThan" aboveAverage="0" equalAverage="0" bottom="0" percent="0" rank="0" text="" dxfId="0">
      <formula>1.1</formula>
    </cfRule>
  </conditionalFormatting>
  <conditionalFormatting sqref="G61:J61 L61:M61 O61">
    <cfRule type="cellIs" priority="5" operator="lessThan" aboveAverage="0" equalAverage="0" bottom="0" percent="0" rank="0" text="" dxfId="0">
      <formula>1.1</formula>
    </cfRule>
  </conditionalFormatting>
  <conditionalFormatting sqref="D61">
    <cfRule type="cellIs" priority="6" operator="lessThan" aboveAverage="0" equalAverage="0" bottom="0" percent="0" rank="0" text="" dxfId="0">
      <formula>1.1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2013-04-11T12:51:34Z</dcterms:created>
  <dc:creator>Utente</dc:creator>
  <dc:description/>
  <dc:language>en-US</dc:language>
  <cp:lastModifiedBy>Oscar Corsini</cp:lastModifiedBy>
  <cp:lastPrinted>2025-08-07T11:42:46Z</cp:lastPrinted>
  <dcterms:modified xsi:type="dcterms:W3CDTF">2026-07-11T16:02:29Z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4f1eeb1-1da9-497a-b6e2-39e0379f60e4_ActionId">
    <vt:lpwstr>53ed4415-7306-4eb8-87bf-69b19d166729</vt:lpwstr>
  </property>
  <property fmtid="{D5CDD505-2E9C-101B-9397-08002B2CF9AE}" pid="3" name="MSIP_Label_d4f1eeb1-1da9-497a-b6e2-39e0379f60e4_ContentBits">
    <vt:lpwstr>1</vt:lpwstr>
  </property>
  <property fmtid="{D5CDD505-2E9C-101B-9397-08002B2CF9AE}" pid="4" name="MSIP_Label_d4f1eeb1-1da9-497a-b6e2-39e0379f60e4_Enabled">
    <vt:lpwstr>true</vt:lpwstr>
  </property>
  <property fmtid="{D5CDD505-2E9C-101B-9397-08002B2CF9AE}" pid="5" name="MSIP_Label_d4f1eeb1-1da9-497a-b6e2-39e0379f60e4_Method">
    <vt:lpwstr>Standard</vt:lpwstr>
  </property>
  <property fmtid="{D5CDD505-2E9C-101B-9397-08002B2CF9AE}" pid="6" name="MSIP_Label_d4f1eeb1-1da9-497a-b6e2-39e0379f60e4_Name">
    <vt:lpwstr>Interno - Classificazione</vt:lpwstr>
  </property>
  <property fmtid="{D5CDD505-2E9C-101B-9397-08002B2CF9AE}" pid="7" name="MSIP_Label_d4f1eeb1-1da9-497a-b6e2-39e0379f60e4_SetDate">
    <vt:lpwstr>2024-01-10T16:13:15Z</vt:lpwstr>
  </property>
  <property fmtid="{D5CDD505-2E9C-101B-9397-08002B2CF9AE}" pid="8" name="MSIP_Label_d4f1eeb1-1da9-497a-b6e2-39e0379f60e4_SiteId">
    <vt:lpwstr>bc77cbb2-dc6d-456e-8899-c2201a88f3a7</vt:lpwstr>
  </property>
</Properties>
</file>